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0" yWindow="0" windowWidth="25125" windowHeight="12210"/>
  </bookViews>
  <sheets>
    <sheet name="Performance Data" sheetId="1" r:id="rId1"/>
    <sheet name="Aircraft Dimensions" sheetId="3" r:id="rId2"/>
    <sheet name="CD0 calculator" sheetId="2" r:id="rId3"/>
    <sheet name="Aircraft Weight" sheetId="4" r:id="rId4"/>
  </sheets>
  <definedNames>
    <definedName name="AR">'CD0 calculator'!$B$13</definedName>
    <definedName name="AR_e">'Performance Data'!$P$12</definedName>
    <definedName name="BATWEIGHT">'Performance Data'!$B$21</definedName>
    <definedName name="CARGO_HEIGHT">'Aircraft Dimensions'!$O$3</definedName>
    <definedName name="CARGO_LENGTH">'Aircraft Dimensions'!$N$3</definedName>
    <definedName name="CARGO_ROWS">'Aircraft Dimensions'!$E$2</definedName>
    <definedName name="CARGO_WIDTH">'Aircraft Dimensions'!$M$3</definedName>
    <definedName name="CARGOperROW">'Aircraft Dimensions'!$D$2</definedName>
    <definedName name="CD0">'Performance Data'!$P$11</definedName>
    <definedName name="CRUD_HEIGHT">'Aircraft Dimensions'!$H$8</definedName>
    <definedName name="CRUD_LENGTH">'Aircraft Dimensions'!$H$6</definedName>
    <definedName name="CRUD_LENGTH_nose">'Aircraft Dimensions'!$H$7</definedName>
    <definedName name="CRUD_LENGTH_tail">'Aircraft Dimensions'!$H$6</definedName>
    <definedName name="CRUD_WIDTH">'Aircraft Dimensions'!$H$5</definedName>
    <definedName name="ENDURANCE">'Performance Data'!$B$22</definedName>
    <definedName name="EW">'Aircraft Weight'!$F$20</definedName>
    <definedName name="ExternalServoHeight">'Aircraft Dimensions'!$E$19</definedName>
    <definedName name="ExternalServoWidth">'Aircraft Dimensions'!$E$18</definedName>
    <definedName name="Fuse_H">'CD0 calculator'!$N$15</definedName>
    <definedName name="Fuse_Len">'CD0 calculator'!$N$13</definedName>
    <definedName name="Fuse_W">'CD0 calculator'!$N$14</definedName>
    <definedName name="HEADWIND">'Performance Data'!$P$14</definedName>
    <definedName name="LandingGearHeight">'Aircraft Dimensions'!$E$17</definedName>
    <definedName name="LandingGearWidth">'Aircraft Dimensions'!$E$16</definedName>
    <definedName name="M1_TURN_MARGIN">'Performance Data'!$L$9</definedName>
    <definedName name="m2_turn_margin">'Performance Data'!$L$14</definedName>
    <definedName name="m3_turn_margin">'Performance Data'!$L$19</definedName>
    <definedName name="MISSION1_STALL">'Performance Data'!$J$6</definedName>
    <definedName name="MISSION1_TODIST">'Performance Data'!$J$8</definedName>
    <definedName name="MISSION1_TOP">'Performance Data'!$J$7</definedName>
    <definedName name="MISSION1_WARNING">'Performance Data'!$L$8</definedName>
    <definedName name="MISSION2_STALL">'Performance Data'!$J$11</definedName>
    <definedName name="MISSION2_TIME">'Performance Data'!$B$45</definedName>
    <definedName name="MISSION2_TODIST">'Performance Data'!$J$13</definedName>
    <definedName name="MISSION2_TOP">'Performance Data'!$J$12</definedName>
    <definedName name="MISSION2_WARNING">'Performance Data'!$L$13</definedName>
    <definedName name="MISSION3_LAPS">'Performance Data'!$B$49</definedName>
    <definedName name="MISSION3_STALL">'Performance Data'!$J$16</definedName>
    <definedName name="MISSION3_TODIST">'Performance Data'!$J$18</definedName>
    <definedName name="MISSION3_TOP">'Performance Data'!$J$17</definedName>
    <definedName name="MISSION3_WARNING">'Performance Data'!$L$18</definedName>
    <definedName name="NBLOX">'Performance Data'!$B$33</definedName>
    <definedName name="NENG">'Performance Data'!$P$9</definedName>
    <definedName name="NPAX">'Performance Data'!$B$31</definedName>
    <definedName name="NUMCELLS">'Performance Data'!$B$19</definedName>
    <definedName name="OEW">'Performance Data'!$B$29</definedName>
    <definedName name="OverallScore">'Performance Data'!$B$59</definedName>
    <definedName name="PAX_DIMENSIONS">'Aircraft Dimensions'!$M$2</definedName>
    <definedName name="PAX_ROWS">'Aircraft Dimensions'!$B$2</definedName>
    <definedName name="PAXperROW">'Aircraft Dimensions'!$A$2</definedName>
    <definedName name="penalty">'Performance Data'!$L$22</definedName>
    <definedName name="RAC">'Performance Data'!$B$57</definedName>
    <definedName name="S_HT">'CD0 calculator'!$H$12</definedName>
    <definedName name="S_VT">'CD0 calculator'!$K$12</definedName>
    <definedName name="Spi">'CD0 calculator'!$N$16</definedName>
    <definedName name="Sref">'CD0 calculator'!$B$12</definedName>
    <definedName name="SWET_fuse">'Aircraft Dimensions'!$B$18</definedName>
    <definedName name="SWET_mid">'Aircraft Dimensions'!$B$16</definedName>
    <definedName name="SWET_nose">'Aircraft Dimensions'!$B$17</definedName>
    <definedName name="sWet_t">'Aircraft Dimensions'!$A$15</definedName>
    <definedName name="SWET_tail">'Aircraft Dimensions'!$B$15</definedName>
    <definedName name="sync">'Performance Data'!$J$23</definedName>
    <definedName name="Tail_End_Height">'Aircraft Dimensions'!$E$15</definedName>
    <definedName name="Tail_End_Width">'Aircraft Dimensions'!$E$14</definedName>
    <definedName name="TAIL_Swet">'Aircraft Dimensions'!$A$15</definedName>
    <definedName name="Tire_D">'CD0 calculator'!$R$12</definedName>
    <definedName name="Tire_W">'CD0 calculator'!$R$13</definedName>
    <definedName name="tOc_HT">'CD0 calculator'!$H$15</definedName>
    <definedName name="tOc_VT">'CD0 calculator'!$K$15</definedName>
    <definedName name="tOC_wing">'CD0 calculator'!$B$17</definedName>
    <definedName name="TOW_M1">'Performance Data'!$B$38</definedName>
    <definedName name="TOW_M2">'Performance Data'!$B$39</definedName>
    <definedName name="TOW_M3">'Performance Data'!$B$40</definedName>
    <definedName name="TrunionHeight">'Aircraft Dimensions'!$E$21</definedName>
    <definedName name="TrunionWidth">'Aircraft Dimensions'!$E$20</definedName>
    <definedName name="WSPAN">'Performance Data'!$B$51</definedName>
  </definedNames>
  <calcPr calcId="145621"/>
  <fileRecoveryPr autoRecover="0"/>
</workbook>
</file>

<file path=xl/calcChain.xml><?xml version="1.0" encoding="utf-8"?>
<calcChain xmlns="http://schemas.openxmlformats.org/spreadsheetml/2006/main">
  <c r="AD25" i="1" l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24" i="1"/>
  <c r="F29" i="2" l="1"/>
  <c r="F20" i="4" l="1"/>
  <c r="B8" i="4" l="1"/>
  <c r="B22" i="1"/>
  <c r="B21" i="1"/>
  <c r="F16" i="4" l="1"/>
  <c r="F15" i="4"/>
  <c r="D16" i="4"/>
  <c r="D15" i="4"/>
  <c r="B16" i="4"/>
  <c r="B15" i="4"/>
  <c r="S5" i="4"/>
  <c r="S6" i="4"/>
  <c r="S9" i="4"/>
  <c r="Q9" i="4"/>
  <c r="Q8" i="4"/>
  <c r="Q7" i="4"/>
  <c r="Q6" i="4"/>
  <c r="Q5" i="4"/>
  <c r="L8" i="4"/>
  <c r="L6" i="4"/>
  <c r="N6" i="4" s="1"/>
  <c r="L5" i="4"/>
  <c r="N5" i="4" s="1"/>
  <c r="N9" i="4"/>
  <c r="L9" i="4"/>
  <c r="L7" i="4"/>
  <c r="D7" i="4"/>
  <c r="D6" i="4"/>
  <c r="B9" i="4"/>
  <c r="B7" i="4"/>
  <c r="B6" i="4"/>
  <c r="B5" i="4"/>
  <c r="L19" i="1" l="1"/>
  <c r="L14" i="1"/>
  <c r="L9" i="1"/>
  <c r="F21" i="3" l="1"/>
  <c r="F19" i="3"/>
  <c r="F17" i="3"/>
  <c r="F15" i="3"/>
  <c r="F22" i="3" s="1"/>
  <c r="O18" i="1" l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P48" i="1" s="1"/>
  <c r="V45" i="1" l="1"/>
  <c r="P44" i="1"/>
  <c r="V48" i="1"/>
  <c r="P47" i="1"/>
  <c r="Q47" i="1" s="1"/>
  <c r="V43" i="1"/>
  <c r="O49" i="1"/>
  <c r="V46" i="1"/>
  <c r="P45" i="1"/>
  <c r="Q45" i="1" s="1"/>
  <c r="V47" i="1"/>
  <c r="P46" i="1"/>
  <c r="Q46" i="1" s="1"/>
  <c r="V44" i="1"/>
  <c r="P43" i="1"/>
  <c r="Q43" i="1" s="1"/>
  <c r="Q48" i="1"/>
  <c r="Q44" i="1"/>
  <c r="V42" i="1"/>
  <c r="P40" i="1"/>
  <c r="Q40" i="1" s="1"/>
  <c r="V39" i="1"/>
  <c r="P39" i="1"/>
  <c r="V38" i="1"/>
  <c r="P36" i="1"/>
  <c r="Q36" i="1" s="1"/>
  <c r="P42" i="1"/>
  <c r="Q42" i="1" s="1"/>
  <c r="V41" i="1"/>
  <c r="P41" i="1"/>
  <c r="V40" i="1"/>
  <c r="P38" i="1"/>
  <c r="Q38" i="1" s="1"/>
  <c r="V37" i="1"/>
  <c r="P37" i="1"/>
  <c r="V36" i="1"/>
  <c r="I2" i="3"/>
  <c r="H2" i="3"/>
  <c r="H10" i="3" l="1"/>
  <c r="V49" i="1"/>
  <c r="O50" i="1"/>
  <c r="P49" i="1"/>
  <c r="Q49" i="1" s="1"/>
  <c r="Q37" i="1"/>
  <c r="Q41" i="1"/>
  <c r="Q39" i="1"/>
  <c r="B34" i="1"/>
  <c r="B32" i="1"/>
  <c r="O51" i="1" l="1"/>
  <c r="P50" i="1"/>
  <c r="Q50" i="1" s="1"/>
  <c r="V50" i="1"/>
  <c r="N13" i="2"/>
  <c r="G5" i="4" s="1"/>
  <c r="I5" i="4" s="1"/>
  <c r="F2" i="3"/>
  <c r="B33" i="1" s="1"/>
  <c r="I1" i="3"/>
  <c r="K3" i="3"/>
  <c r="H3" i="3"/>
  <c r="H11" i="3" s="1"/>
  <c r="C2" i="3"/>
  <c r="B31" i="1" s="1"/>
  <c r="H1" i="3"/>
  <c r="H9" i="3" s="1"/>
  <c r="N15" i="2" l="1"/>
  <c r="G7" i="4" s="1"/>
  <c r="I7" i="4" s="1"/>
  <c r="B16" i="3"/>
  <c r="C16" i="3" s="1"/>
  <c r="N14" i="2"/>
  <c r="B17" i="3"/>
  <c r="B15" i="3"/>
  <c r="O52" i="1"/>
  <c r="P51" i="1"/>
  <c r="Q51" i="1" s="1"/>
  <c r="V51" i="1"/>
  <c r="C17" i="3" l="1"/>
  <c r="C15" i="3"/>
  <c r="N3" i="2"/>
  <c r="G6" i="4"/>
  <c r="B18" i="3"/>
  <c r="C18" i="3" s="1"/>
  <c r="N12" i="2" s="1"/>
  <c r="O53" i="1"/>
  <c r="V52" i="1"/>
  <c r="P52" i="1"/>
  <c r="Q52" i="1" s="1"/>
  <c r="J23" i="1"/>
  <c r="I6" i="4" l="1"/>
  <c r="D14" i="4" s="1"/>
  <c r="B13" i="4"/>
  <c r="D13" i="4" s="1"/>
  <c r="F13" i="4" s="1"/>
  <c r="O54" i="1"/>
  <c r="P53" i="1"/>
  <c r="Q53" i="1" s="1"/>
  <c r="V53" i="1"/>
  <c r="B24" i="2"/>
  <c r="N18" i="2"/>
  <c r="C24" i="2" s="1"/>
  <c r="C26" i="2"/>
  <c r="C25" i="2"/>
  <c r="R15" i="2"/>
  <c r="B28" i="2" s="1"/>
  <c r="F28" i="2" s="1"/>
  <c r="B27" i="2"/>
  <c r="F27" i="2" s="1"/>
  <c r="N16" i="2"/>
  <c r="K13" i="2"/>
  <c r="B26" i="2" s="1"/>
  <c r="H13" i="2"/>
  <c r="B25" i="2" s="1"/>
  <c r="C23" i="2"/>
  <c r="B16" i="2"/>
  <c r="B23" i="2" s="1"/>
  <c r="B14" i="2"/>
  <c r="B15" i="2" s="1"/>
  <c r="C6" i="2"/>
  <c r="C8" i="2" s="1"/>
  <c r="O55" i="1" l="1"/>
  <c r="P54" i="1"/>
  <c r="Q54" i="1" s="1"/>
  <c r="V54" i="1"/>
  <c r="C7" i="2"/>
  <c r="D15" i="2"/>
  <c r="D14" i="2"/>
  <c r="B47" i="1"/>
  <c r="B48" i="1" s="1"/>
  <c r="B43" i="1"/>
  <c r="B29" i="1" l="1"/>
  <c r="F21" i="4"/>
  <c r="O56" i="1"/>
  <c r="V55" i="1"/>
  <c r="P55" i="1"/>
  <c r="Q55" i="1" s="1"/>
  <c r="D26" i="2"/>
  <c r="E26" i="2" s="1"/>
  <c r="F26" i="2" s="1"/>
  <c r="D25" i="2"/>
  <c r="E25" i="2" s="1"/>
  <c r="F25" i="2" s="1"/>
  <c r="D24" i="2"/>
  <c r="E24" i="2" s="1"/>
  <c r="F24" i="2" s="1"/>
  <c r="D23" i="2"/>
  <c r="E23" i="2" s="1"/>
  <c r="F23" i="2" s="1"/>
  <c r="P8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O57" i="1" l="1"/>
  <c r="P56" i="1"/>
  <c r="Q56" i="1" s="1"/>
  <c r="V56" i="1"/>
  <c r="F30" i="2"/>
  <c r="P11" i="1" s="1"/>
  <c r="U116" i="1" s="1"/>
  <c r="F47" i="1"/>
  <c r="V13" i="1"/>
  <c r="B51" i="1" s="1"/>
  <c r="B49" i="1"/>
  <c r="B55" i="1" s="1"/>
  <c r="B44" i="1"/>
  <c r="B45" i="1" s="1"/>
  <c r="B54" i="1" s="1"/>
  <c r="T112" i="1"/>
  <c r="T113" i="1"/>
  <c r="T114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O58" i="1" l="1"/>
  <c r="V57" i="1"/>
  <c r="P57" i="1"/>
  <c r="Q57" i="1" s="1"/>
  <c r="U110" i="1"/>
  <c r="U109" i="1"/>
  <c r="U108" i="1"/>
  <c r="U106" i="1"/>
  <c r="U105" i="1"/>
  <c r="U100" i="1"/>
  <c r="U111" i="1"/>
  <c r="U107" i="1"/>
  <c r="U103" i="1"/>
  <c r="U114" i="1"/>
  <c r="U113" i="1"/>
  <c r="U119" i="1"/>
  <c r="U127" i="1"/>
  <c r="U104" i="1"/>
  <c r="U102" i="1"/>
  <c r="U101" i="1"/>
  <c r="U112" i="1"/>
  <c r="U134" i="1"/>
  <c r="U123" i="1"/>
  <c r="U129" i="1"/>
  <c r="U117" i="1"/>
  <c r="U132" i="1"/>
  <c r="U115" i="1"/>
  <c r="U120" i="1"/>
  <c r="U124" i="1"/>
  <c r="U128" i="1"/>
  <c r="U133" i="1"/>
  <c r="U118" i="1"/>
  <c r="U121" i="1"/>
  <c r="U122" i="1"/>
  <c r="U125" i="1"/>
  <c r="U130" i="1"/>
  <c r="U126" i="1"/>
  <c r="U131" i="1"/>
  <c r="Z8" i="1"/>
  <c r="O59" i="1" l="1"/>
  <c r="P58" i="1"/>
  <c r="Q58" i="1" s="1"/>
  <c r="V58" i="1"/>
  <c r="B30" i="1"/>
  <c r="O60" i="1" l="1"/>
  <c r="P59" i="1"/>
  <c r="Q59" i="1" s="1"/>
  <c r="V59" i="1"/>
  <c r="B57" i="1"/>
  <c r="B38" i="1"/>
  <c r="V16" i="1"/>
  <c r="O61" i="1" l="1"/>
  <c r="V60" i="1"/>
  <c r="P60" i="1"/>
  <c r="Q60" i="1" s="1"/>
  <c r="AA74" i="1"/>
  <c r="O62" i="1" l="1"/>
  <c r="P61" i="1"/>
  <c r="Q61" i="1" s="1"/>
  <c r="V61" i="1"/>
  <c r="L22" i="1"/>
  <c r="B59" i="1" l="1"/>
  <c r="O63" i="1"/>
  <c r="P62" i="1"/>
  <c r="Q62" i="1" s="1"/>
  <c r="V62" i="1"/>
  <c r="X74" i="1"/>
  <c r="O64" i="1" l="1"/>
  <c r="V63" i="1"/>
  <c r="P63" i="1"/>
  <c r="Q63" i="1" s="1"/>
  <c r="T90" i="1"/>
  <c r="U90" i="1" s="1"/>
  <c r="T91" i="1"/>
  <c r="U91" i="1" s="1"/>
  <c r="T92" i="1"/>
  <c r="U92" i="1" s="1"/>
  <c r="T93" i="1"/>
  <c r="U93" i="1" s="1"/>
  <c r="T94" i="1"/>
  <c r="U94" i="1" s="1"/>
  <c r="T95" i="1"/>
  <c r="U95" i="1" s="1"/>
  <c r="T96" i="1"/>
  <c r="U96" i="1" s="1"/>
  <c r="T97" i="1"/>
  <c r="U97" i="1" s="1"/>
  <c r="T98" i="1"/>
  <c r="U98" i="1" s="1"/>
  <c r="T99" i="1"/>
  <c r="U99" i="1" s="1"/>
  <c r="O75" i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T75" i="1"/>
  <c r="U75" i="1" s="1"/>
  <c r="T76" i="1"/>
  <c r="U76" i="1" s="1"/>
  <c r="T77" i="1"/>
  <c r="U77" i="1" s="1"/>
  <c r="T78" i="1"/>
  <c r="U78" i="1" s="1"/>
  <c r="T79" i="1"/>
  <c r="U79" i="1" s="1"/>
  <c r="T80" i="1"/>
  <c r="U80" i="1" s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U89" i="1" s="1"/>
  <c r="T74" i="1"/>
  <c r="Q74" i="1"/>
  <c r="O65" i="1" l="1"/>
  <c r="P64" i="1"/>
  <c r="Q64" i="1" s="1"/>
  <c r="V64" i="1"/>
  <c r="O91" i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S74" i="1"/>
  <c r="V74" i="1" s="1"/>
  <c r="P16" i="1"/>
  <c r="V17" i="1"/>
  <c r="O66" i="1" l="1"/>
  <c r="V65" i="1"/>
  <c r="P65" i="1"/>
  <c r="Q65" i="1" s="1"/>
  <c r="P17" i="1"/>
  <c r="Q16" i="1"/>
  <c r="U74" i="1"/>
  <c r="O67" i="1" l="1"/>
  <c r="O68" i="1" s="1"/>
  <c r="V66" i="1"/>
  <c r="P66" i="1"/>
  <c r="Q66" i="1" s="1"/>
  <c r="P18" i="1"/>
  <c r="Q18" i="1" s="1"/>
  <c r="V18" i="1"/>
  <c r="Q17" i="1"/>
  <c r="V19" i="1"/>
  <c r="V20" i="1" l="1"/>
  <c r="P19" i="1"/>
  <c r="Q19" i="1" l="1"/>
  <c r="V21" i="1"/>
  <c r="P20" i="1"/>
  <c r="Q20" i="1" l="1"/>
  <c r="V22" i="1"/>
  <c r="P21" i="1"/>
  <c r="Q21" i="1" l="1"/>
  <c r="V23" i="1"/>
  <c r="P22" i="1"/>
  <c r="Q22" i="1" l="1"/>
  <c r="V24" i="1"/>
  <c r="P23" i="1"/>
  <c r="V25" i="1" l="1"/>
  <c r="P24" i="1"/>
  <c r="Q23" i="1"/>
  <c r="Q24" i="1" l="1"/>
  <c r="V26" i="1"/>
  <c r="P25" i="1"/>
  <c r="Q25" i="1" l="1"/>
  <c r="V27" i="1"/>
  <c r="P26" i="1"/>
  <c r="Q26" i="1" l="1"/>
  <c r="V28" i="1"/>
  <c r="P27" i="1"/>
  <c r="Q27" i="1" l="1"/>
  <c r="V29" i="1"/>
  <c r="P28" i="1"/>
  <c r="Q28" i="1" l="1"/>
  <c r="V30" i="1"/>
  <c r="P29" i="1"/>
  <c r="Q29" i="1" l="1"/>
  <c r="V31" i="1"/>
  <c r="P30" i="1"/>
  <c r="Q30" i="1" l="1"/>
  <c r="V32" i="1"/>
  <c r="P31" i="1"/>
  <c r="Q31" i="1" l="1"/>
  <c r="V33" i="1"/>
  <c r="P32" i="1"/>
  <c r="Q32" i="1" l="1"/>
  <c r="V34" i="1"/>
  <c r="P33" i="1"/>
  <c r="Q33" i="1" l="1"/>
  <c r="V35" i="1"/>
  <c r="P34" i="1"/>
  <c r="Q34" i="1" l="1"/>
  <c r="P35" i="1"/>
  <c r="Q35" i="1" l="1"/>
  <c r="V67" i="1" l="1"/>
  <c r="V68" i="1" l="1"/>
  <c r="P67" i="1"/>
  <c r="Q67" i="1" l="1"/>
  <c r="P68" i="1"/>
  <c r="Q68" i="1" l="1"/>
  <c r="V8" i="1" l="1"/>
  <c r="V9" i="1" s="1"/>
  <c r="W74" i="1"/>
  <c r="Y74" i="1" s="1"/>
  <c r="P75" i="1" s="1"/>
  <c r="X45" i="1" l="1"/>
  <c r="X49" i="1"/>
  <c r="X53" i="1"/>
  <c r="X57" i="1"/>
  <c r="X61" i="1"/>
  <c r="X63" i="1"/>
  <c r="X65" i="1"/>
  <c r="X66" i="1"/>
  <c r="X43" i="1"/>
  <c r="X47" i="1"/>
  <c r="X51" i="1"/>
  <c r="X55" i="1"/>
  <c r="X59" i="1"/>
  <c r="X64" i="1"/>
  <c r="X62" i="1"/>
  <c r="X60" i="1"/>
  <c r="X58" i="1"/>
  <c r="X56" i="1"/>
  <c r="X54" i="1"/>
  <c r="X52" i="1"/>
  <c r="X50" i="1"/>
  <c r="X48" i="1"/>
  <c r="X46" i="1"/>
  <c r="X44" i="1"/>
  <c r="X40" i="1"/>
  <c r="X36" i="1"/>
  <c r="X42" i="1"/>
  <c r="X38" i="1"/>
  <c r="X37" i="1"/>
  <c r="X41" i="1"/>
  <c r="X39" i="1"/>
  <c r="AB75" i="1"/>
  <c r="AA75" i="1"/>
  <c r="Z74" i="1"/>
  <c r="V10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67" i="1"/>
  <c r="X68" i="1"/>
  <c r="AG44" i="1" l="1"/>
  <c r="AH44" i="1" s="1"/>
  <c r="AF44" i="1"/>
  <c r="S44" i="1"/>
  <c r="T44" i="1" s="1"/>
  <c r="U44" i="1" s="1"/>
  <c r="W44" i="1" s="1"/>
  <c r="AG48" i="1"/>
  <c r="AH48" i="1" s="1"/>
  <c r="AF48" i="1"/>
  <c r="S48" i="1"/>
  <c r="T48" i="1" s="1"/>
  <c r="U48" i="1" s="1"/>
  <c r="W48" i="1" s="1"/>
  <c r="AG52" i="1"/>
  <c r="AH52" i="1" s="1"/>
  <c r="AF52" i="1"/>
  <c r="S52" i="1"/>
  <c r="T52" i="1" s="1"/>
  <c r="U52" i="1" s="1"/>
  <c r="W52" i="1" s="1"/>
  <c r="AG56" i="1"/>
  <c r="AH56" i="1" s="1"/>
  <c r="AF56" i="1"/>
  <c r="S56" i="1"/>
  <c r="T56" i="1" s="1"/>
  <c r="U56" i="1" s="1"/>
  <c r="W56" i="1" s="1"/>
  <c r="AG60" i="1"/>
  <c r="AH60" i="1" s="1"/>
  <c r="AF60" i="1"/>
  <c r="S60" i="1"/>
  <c r="T60" i="1" s="1"/>
  <c r="U60" i="1" s="1"/>
  <c r="W60" i="1" s="1"/>
  <c r="AG64" i="1"/>
  <c r="AH64" i="1" s="1"/>
  <c r="AF64" i="1"/>
  <c r="S64" i="1"/>
  <c r="T64" i="1" s="1"/>
  <c r="AG55" i="1"/>
  <c r="AH55" i="1" s="1"/>
  <c r="S55" i="1"/>
  <c r="T55" i="1" s="1"/>
  <c r="AF55" i="1"/>
  <c r="AG47" i="1"/>
  <c r="AH47" i="1" s="1"/>
  <c r="S47" i="1"/>
  <c r="T47" i="1" s="1"/>
  <c r="AF47" i="1"/>
  <c r="S66" i="1"/>
  <c r="T66" i="1" s="1"/>
  <c r="AG66" i="1"/>
  <c r="AH66" i="1" s="1"/>
  <c r="AF66" i="1"/>
  <c r="AG63" i="1"/>
  <c r="AH63" i="1" s="1"/>
  <c r="AF63" i="1"/>
  <c r="S63" i="1"/>
  <c r="T63" i="1" s="1"/>
  <c r="S57" i="1"/>
  <c r="T57" i="1" s="1"/>
  <c r="U57" i="1" s="1"/>
  <c r="W57" i="1" s="1"/>
  <c r="AG57" i="1"/>
  <c r="AH57" i="1" s="1"/>
  <c r="AF57" i="1"/>
  <c r="AG49" i="1"/>
  <c r="AH49" i="1" s="1"/>
  <c r="S49" i="1"/>
  <c r="AF49" i="1"/>
  <c r="AA43" i="1"/>
  <c r="AA44" i="1"/>
  <c r="AA47" i="1"/>
  <c r="AA48" i="1"/>
  <c r="AA51" i="1"/>
  <c r="AA52" i="1"/>
  <c r="AA55" i="1"/>
  <c r="AA56" i="1"/>
  <c r="AA59" i="1"/>
  <c r="AA60" i="1"/>
  <c r="AA62" i="1"/>
  <c r="AA64" i="1"/>
  <c r="AA45" i="1"/>
  <c r="AA46" i="1"/>
  <c r="AA49" i="1"/>
  <c r="AA50" i="1"/>
  <c r="AA53" i="1"/>
  <c r="AA54" i="1"/>
  <c r="AA57" i="1"/>
  <c r="AA58" i="1"/>
  <c r="AA61" i="1"/>
  <c r="AA63" i="1"/>
  <c r="AA65" i="1"/>
  <c r="AA66" i="1"/>
  <c r="AG46" i="1"/>
  <c r="AH46" i="1" s="1"/>
  <c r="AF46" i="1"/>
  <c r="S46" i="1"/>
  <c r="T46" i="1" s="1"/>
  <c r="U46" i="1" s="1"/>
  <c r="W46" i="1" s="1"/>
  <c r="AG50" i="1"/>
  <c r="AH50" i="1" s="1"/>
  <c r="AF50" i="1"/>
  <c r="S50" i="1"/>
  <c r="T50" i="1" s="1"/>
  <c r="Y50" i="1" s="1"/>
  <c r="Z50" i="1" s="1"/>
  <c r="S54" i="1"/>
  <c r="T54" i="1" s="1"/>
  <c r="U54" i="1" s="1"/>
  <c r="W54" i="1" s="1"/>
  <c r="AG54" i="1"/>
  <c r="AH54" i="1" s="1"/>
  <c r="AF54" i="1"/>
  <c r="S58" i="1"/>
  <c r="T58" i="1" s="1"/>
  <c r="U58" i="1" s="1"/>
  <c r="W58" i="1" s="1"/>
  <c r="AF58" i="1"/>
  <c r="AG58" i="1"/>
  <c r="AH58" i="1" s="1"/>
  <c r="AG62" i="1"/>
  <c r="AH62" i="1" s="1"/>
  <c r="S62" i="1"/>
  <c r="T62" i="1" s="1"/>
  <c r="U62" i="1" s="1"/>
  <c r="W62" i="1" s="1"/>
  <c r="AF62" i="1"/>
  <c r="AG59" i="1"/>
  <c r="AH59" i="1" s="1"/>
  <c r="S59" i="1"/>
  <c r="T59" i="1" s="1"/>
  <c r="AF59" i="1"/>
  <c r="AG51" i="1"/>
  <c r="AH51" i="1" s="1"/>
  <c r="AF51" i="1"/>
  <c r="S51" i="1"/>
  <c r="AG43" i="1"/>
  <c r="AH43" i="1" s="1"/>
  <c r="S43" i="1"/>
  <c r="T43" i="1" s="1"/>
  <c r="AF43" i="1"/>
  <c r="AF65" i="1"/>
  <c r="AG65" i="1"/>
  <c r="AH65" i="1" s="1"/>
  <c r="S65" i="1"/>
  <c r="T65" i="1" s="1"/>
  <c r="U65" i="1" s="1"/>
  <c r="W65" i="1" s="1"/>
  <c r="AG61" i="1"/>
  <c r="AH61" i="1" s="1"/>
  <c r="S61" i="1"/>
  <c r="T61" i="1" s="1"/>
  <c r="AF61" i="1"/>
  <c r="AG53" i="1"/>
  <c r="AH53" i="1" s="1"/>
  <c r="S53" i="1"/>
  <c r="T53" i="1" s="1"/>
  <c r="U53" i="1" s="1"/>
  <c r="W53" i="1" s="1"/>
  <c r="AF53" i="1"/>
  <c r="AG45" i="1"/>
  <c r="AH45" i="1" s="1"/>
  <c r="S45" i="1"/>
  <c r="T45" i="1" s="1"/>
  <c r="U45" i="1" s="1"/>
  <c r="W45" i="1" s="1"/>
  <c r="AF45" i="1"/>
  <c r="AG41" i="1"/>
  <c r="AH41" i="1" s="1"/>
  <c r="AF41" i="1"/>
  <c r="S41" i="1"/>
  <c r="T41" i="1" s="1"/>
  <c r="AG36" i="1"/>
  <c r="AH36" i="1" s="1"/>
  <c r="S36" i="1"/>
  <c r="T36" i="1" s="1"/>
  <c r="AF36" i="1"/>
  <c r="AG39" i="1"/>
  <c r="AH39" i="1" s="1"/>
  <c r="AF39" i="1"/>
  <c r="S39" i="1"/>
  <c r="T39" i="1" s="1"/>
  <c r="U39" i="1" s="1"/>
  <c r="W39" i="1" s="1"/>
  <c r="AG37" i="1"/>
  <c r="AH37" i="1" s="1"/>
  <c r="S37" i="1"/>
  <c r="T37" i="1" s="1"/>
  <c r="AF37" i="1"/>
  <c r="AG42" i="1"/>
  <c r="AH42" i="1" s="1"/>
  <c r="S42" i="1"/>
  <c r="T42" i="1" s="1"/>
  <c r="AF42" i="1"/>
  <c r="S40" i="1"/>
  <c r="T40" i="1" s="1"/>
  <c r="AF40" i="1"/>
  <c r="AG40" i="1"/>
  <c r="AH40" i="1" s="1"/>
  <c r="AA40" i="1"/>
  <c r="AA39" i="1"/>
  <c r="AA36" i="1"/>
  <c r="AA42" i="1"/>
  <c r="AA41" i="1"/>
  <c r="AA38" i="1"/>
  <c r="AA37" i="1"/>
  <c r="AF38" i="1"/>
  <c r="AG38" i="1"/>
  <c r="AH38" i="1" s="1"/>
  <c r="S38" i="1"/>
  <c r="T38" i="1" s="1"/>
  <c r="AF19" i="1"/>
  <c r="AG19" i="1"/>
  <c r="AH19" i="1" s="1"/>
  <c r="S19" i="1"/>
  <c r="T19" i="1" s="1"/>
  <c r="U19" i="1" s="1"/>
  <c r="W19" i="1" s="1"/>
  <c r="AB19" i="1" s="1"/>
  <c r="AG26" i="1"/>
  <c r="AH26" i="1" s="1"/>
  <c r="S26" i="1"/>
  <c r="T26" i="1" s="1"/>
  <c r="AF26" i="1"/>
  <c r="S18" i="1"/>
  <c r="T18" i="1" s="1"/>
  <c r="U18" i="1" s="1"/>
  <c r="W18" i="1" s="1"/>
  <c r="AB18" i="1" s="1"/>
  <c r="AG18" i="1"/>
  <c r="AH18" i="1" s="1"/>
  <c r="AF18" i="1"/>
  <c r="AG27" i="1"/>
  <c r="AH27" i="1" s="1"/>
  <c r="S27" i="1"/>
  <c r="T27" i="1" s="1"/>
  <c r="AF27" i="1"/>
  <c r="S16" i="1"/>
  <c r="T16" i="1" s="1"/>
  <c r="U16" i="1" s="1"/>
  <c r="W16" i="1" s="1"/>
  <c r="AB16" i="1" s="1"/>
  <c r="AG16" i="1"/>
  <c r="AH16" i="1" s="1"/>
  <c r="AF16" i="1"/>
  <c r="Y16" i="1"/>
  <c r="Z16" i="1" s="1"/>
  <c r="S35" i="1"/>
  <c r="T35" i="1" s="1"/>
  <c r="AF35" i="1"/>
  <c r="AG35" i="1"/>
  <c r="AH35" i="1" s="1"/>
  <c r="AG68" i="1"/>
  <c r="AH68" i="1" s="1"/>
  <c r="S68" i="1"/>
  <c r="T68" i="1" s="1"/>
  <c r="AF68" i="1"/>
  <c r="AG25" i="1"/>
  <c r="AH25" i="1" s="1"/>
  <c r="AF25" i="1"/>
  <c r="S25" i="1"/>
  <c r="T25" i="1" s="1"/>
  <c r="AG24" i="1"/>
  <c r="AH24" i="1" s="1"/>
  <c r="S24" i="1"/>
  <c r="T24" i="1" s="1"/>
  <c r="AF24" i="1"/>
  <c r="AG23" i="1"/>
  <c r="AH23" i="1" s="1"/>
  <c r="S23" i="1"/>
  <c r="T23" i="1" s="1"/>
  <c r="AF23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67" i="1"/>
  <c r="AA68" i="1"/>
  <c r="AG67" i="1"/>
  <c r="AH67" i="1" s="1"/>
  <c r="S67" i="1"/>
  <c r="T67" i="1" s="1"/>
  <c r="AF67" i="1"/>
  <c r="AG17" i="1"/>
  <c r="AH17" i="1" s="1"/>
  <c r="AF17" i="1"/>
  <c r="S17" i="1"/>
  <c r="T17" i="1" s="1"/>
  <c r="AG32" i="1"/>
  <c r="AH32" i="1" s="1"/>
  <c r="S32" i="1"/>
  <c r="T32" i="1" s="1"/>
  <c r="AF32" i="1"/>
  <c r="AG31" i="1"/>
  <c r="AH31" i="1" s="1"/>
  <c r="AF31" i="1"/>
  <c r="S31" i="1"/>
  <c r="T31" i="1" s="1"/>
  <c r="S30" i="1"/>
  <c r="T30" i="1" s="1"/>
  <c r="U30" i="1" s="1"/>
  <c r="W30" i="1" s="1"/>
  <c r="AF30" i="1"/>
  <c r="AG30" i="1"/>
  <c r="AH30" i="1" s="1"/>
  <c r="AG22" i="1"/>
  <c r="AH22" i="1" s="1"/>
  <c r="S22" i="1"/>
  <c r="T22" i="1" s="1"/>
  <c r="AF22" i="1"/>
  <c r="AG34" i="1"/>
  <c r="AH34" i="1" s="1"/>
  <c r="S34" i="1"/>
  <c r="T34" i="1" s="1"/>
  <c r="AF34" i="1"/>
  <c r="AG33" i="1"/>
  <c r="AH33" i="1" s="1"/>
  <c r="S33" i="1"/>
  <c r="T33" i="1" s="1"/>
  <c r="AF33" i="1"/>
  <c r="S29" i="1"/>
  <c r="T29" i="1" s="1"/>
  <c r="AF29" i="1"/>
  <c r="AG29" i="1"/>
  <c r="AH29" i="1" s="1"/>
  <c r="AG21" i="1"/>
  <c r="AH21" i="1" s="1"/>
  <c r="S21" i="1"/>
  <c r="T21" i="1" s="1"/>
  <c r="AF21" i="1"/>
  <c r="S28" i="1"/>
  <c r="T28" i="1" s="1"/>
  <c r="AF28" i="1"/>
  <c r="AG28" i="1"/>
  <c r="AH28" i="1" s="1"/>
  <c r="AG20" i="1"/>
  <c r="AH20" i="1" s="1"/>
  <c r="S20" i="1"/>
  <c r="T20" i="1" s="1"/>
  <c r="AF20" i="1"/>
  <c r="X75" i="1"/>
  <c r="Q75" i="1"/>
  <c r="AB30" i="1" l="1"/>
  <c r="AE30" i="1"/>
  <c r="AC30" i="1" s="1"/>
  <c r="AB53" i="1"/>
  <c r="AE53" i="1"/>
  <c r="AC53" i="1" s="1"/>
  <c r="AB62" i="1"/>
  <c r="AE62" i="1"/>
  <c r="AC62" i="1" s="1"/>
  <c r="AB58" i="1"/>
  <c r="AE58" i="1"/>
  <c r="AC58" i="1" s="1"/>
  <c r="AB56" i="1"/>
  <c r="AE56" i="1"/>
  <c r="AC56" i="1" s="1"/>
  <c r="AB48" i="1"/>
  <c r="AE48" i="1"/>
  <c r="AC48" i="1" s="1"/>
  <c r="AB39" i="1"/>
  <c r="AE39" i="1"/>
  <c r="AC39" i="1" s="1"/>
  <c r="AB45" i="1"/>
  <c r="AE45" i="1"/>
  <c r="AC45" i="1" s="1"/>
  <c r="AB65" i="1"/>
  <c r="AE65" i="1"/>
  <c r="AC65" i="1" s="1"/>
  <c r="AB54" i="1"/>
  <c r="AE54" i="1"/>
  <c r="AC54" i="1" s="1"/>
  <c r="AB46" i="1"/>
  <c r="AE46" i="1"/>
  <c r="AC46" i="1" s="1"/>
  <c r="AB57" i="1"/>
  <c r="AE57" i="1"/>
  <c r="AC57" i="1" s="1"/>
  <c r="AB60" i="1"/>
  <c r="AE60" i="1"/>
  <c r="AC60" i="1" s="1"/>
  <c r="AB52" i="1"/>
  <c r="AE52" i="1"/>
  <c r="AC52" i="1" s="1"/>
  <c r="AB44" i="1"/>
  <c r="AE44" i="1"/>
  <c r="AC44" i="1" s="1"/>
  <c r="Y48" i="1"/>
  <c r="Z48" i="1" s="1"/>
  <c r="Y52" i="1"/>
  <c r="Z52" i="1" s="1"/>
  <c r="Y54" i="1"/>
  <c r="Z54" i="1" s="1"/>
  <c r="Y45" i="1"/>
  <c r="Z45" i="1" s="1"/>
  <c r="Y62" i="1"/>
  <c r="Z62" i="1" s="1"/>
  <c r="Y56" i="1"/>
  <c r="Z56" i="1" s="1"/>
  <c r="Y61" i="1"/>
  <c r="Z61" i="1" s="1"/>
  <c r="Y53" i="1"/>
  <c r="Z53" i="1" s="1"/>
  <c r="Y46" i="1"/>
  <c r="Z46" i="1" s="1"/>
  <c r="Y44" i="1"/>
  <c r="Z44" i="1" s="1"/>
  <c r="U59" i="1"/>
  <c r="W59" i="1" s="1"/>
  <c r="U63" i="1"/>
  <c r="W63" i="1" s="1"/>
  <c r="Y66" i="1"/>
  <c r="Z66" i="1" s="1"/>
  <c r="U66" i="1"/>
  <c r="W66" i="1" s="1"/>
  <c r="U43" i="1"/>
  <c r="W43" i="1" s="1"/>
  <c r="Y43" i="1"/>
  <c r="Z43" i="1" s="1"/>
  <c r="Y59" i="1"/>
  <c r="Z59" i="1" s="1"/>
  <c r="Y58" i="1"/>
  <c r="Z58" i="1" s="1"/>
  <c r="U50" i="1"/>
  <c r="W50" i="1" s="1"/>
  <c r="T49" i="1"/>
  <c r="U49" i="1" s="1"/>
  <c r="W49" i="1" s="1"/>
  <c r="Y57" i="1"/>
  <c r="Z57" i="1" s="1"/>
  <c r="Y47" i="1"/>
  <c r="Z47" i="1" s="1"/>
  <c r="Y55" i="1"/>
  <c r="Z55" i="1" s="1"/>
  <c r="Y64" i="1"/>
  <c r="Z64" i="1" s="1"/>
  <c r="Y60" i="1"/>
  <c r="Z60" i="1" s="1"/>
  <c r="U61" i="1"/>
  <c r="W61" i="1" s="1"/>
  <c r="Y65" i="1"/>
  <c r="Z65" i="1" s="1"/>
  <c r="T51" i="1"/>
  <c r="U51" i="1" s="1"/>
  <c r="W51" i="1" s="1"/>
  <c r="Y63" i="1"/>
  <c r="Z63" i="1" s="1"/>
  <c r="U47" i="1"/>
  <c r="W47" i="1" s="1"/>
  <c r="U55" i="1"/>
  <c r="W55" i="1" s="1"/>
  <c r="U64" i="1"/>
  <c r="W64" i="1" s="1"/>
  <c r="Y41" i="1"/>
  <c r="Z41" i="1" s="1"/>
  <c r="Y39" i="1"/>
  <c r="Z39" i="1" s="1"/>
  <c r="U38" i="1"/>
  <c r="W38" i="1" s="1"/>
  <c r="Y38" i="1"/>
  <c r="Z38" i="1" s="1"/>
  <c r="Y40" i="1"/>
  <c r="Z40" i="1" s="1"/>
  <c r="Y42" i="1"/>
  <c r="Z42" i="1" s="1"/>
  <c r="Y37" i="1"/>
  <c r="Z37" i="1" s="1"/>
  <c r="Y36" i="1"/>
  <c r="Z36" i="1" s="1"/>
  <c r="U40" i="1"/>
  <c r="W40" i="1" s="1"/>
  <c r="U42" i="1"/>
  <c r="W42" i="1" s="1"/>
  <c r="U37" i="1"/>
  <c r="W37" i="1" s="1"/>
  <c r="U36" i="1"/>
  <c r="W36" i="1" s="1"/>
  <c r="U41" i="1"/>
  <c r="W41" i="1" s="1"/>
  <c r="U17" i="1"/>
  <c r="W17" i="1" s="1"/>
  <c r="AB17" i="1" s="1"/>
  <c r="Y17" i="1"/>
  <c r="Z17" i="1" s="1"/>
  <c r="Y18" i="1"/>
  <c r="Z18" i="1" s="1"/>
  <c r="Y19" i="1"/>
  <c r="Z19" i="1" s="1"/>
  <c r="Y30" i="1"/>
  <c r="Z30" i="1" s="1"/>
  <c r="Y28" i="1"/>
  <c r="Z28" i="1" s="1"/>
  <c r="U28" i="1"/>
  <c r="W28" i="1" s="1"/>
  <c r="Y26" i="1"/>
  <c r="Z26" i="1" s="1"/>
  <c r="U26" i="1"/>
  <c r="W26" i="1" s="1"/>
  <c r="Y33" i="1"/>
  <c r="Z33" i="1" s="1"/>
  <c r="U33" i="1"/>
  <c r="W33" i="1" s="1"/>
  <c r="Y68" i="1"/>
  <c r="Z68" i="1" s="1"/>
  <c r="U68" i="1"/>
  <c r="W68" i="1" s="1"/>
  <c r="S75" i="1"/>
  <c r="V75" i="1" s="1"/>
  <c r="W75" i="1" s="1"/>
  <c r="Y75" i="1" s="1"/>
  <c r="P76" i="1" s="1"/>
  <c r="AA76" i="1" s="1"/>
  <c r="Z75" i="1"/>
  <c r="Y27" i="1"/>
  <c r="Z27" i="1" s="1"/>
  <c r="U27" i="1"/>
  <c r="W27" i="1" s="1"/>
  <c r="Y34" i="1"/>
  <c r="Z34" i="1" s="1"/>
  <c r="U34" i="1"/>
  <c r="W34" i="1" s="1"/>
  <c r="Y23" i="1"/>
  <c r="Z23" i="1" s="1"/>
  <c r="U23" i="1"/>
  <c r="W23" i="1" s="1"/>
  <c r="AB23" i="1" s="1"/>
  <c r="Y25" i="1"/>
  <c r="Z25" i="1" s="1"/>
  <c r="U25" i="1"/>
  <c r="W25" i="1" s="1"/>
  <c r="Y35" i="1"/>
  <c r="Z35" i="1" s="1"/>
  <c r="U35" i="1"/>
  <c r="W35" i="1" s="1"/>
  <c r="Y29" i="1"/>
  <c r="Z29" i="1" s="1"/>
  <c r="U29" i="1"/>
  <c r="W29" i="1" s="1"/>
  <c r="Y20" i="1"/>
  <c r="Z20" i="1" s="1"/>
  <c r="U20" i="1"/>
  <c r="W20" i="1" s="1"/>
  <c r="AB20" i="1" s="1"/>
  <c r="Y22" i="1"/>
  <c r="Z22" i="1" s="1"/>
  <c r="U22" i="1"/>
  <c r="W22" i="1" s="1"/>
  <c r="AB22" i="1" s="1"/>
  <c r="Y32" i="1"/>
  <c r="Z32" i="1" s="1"/>
  <c r="U32" i="1"/>
  <c r="W32" i="1" s="1"/>
  <c r="Y67" i="1"/>
  <c r="Z67" i="1" s="1"/>
  <c r="U67" i="1"/>
  <c r="W67" i="1" s="1"/>
  <c r="Y21" i="1"/>
  <c r="Z21" i="1" s="1"/>
  <c r="U21" i="1"/>
  <c r="W21" i="1" s="1"/>
  <c r="AB21" i="1" s="1"/>
  <c r="Y31" i="1"/>
  <c r="Z31" i="1" s="1"/>
  <c r="U31" i="1"/>
  <c r="W31" i="1" s="1"/>
  <c r="Y24" i="1"/>
  <c r="Z24" i="1" s="1"/>
  <c r="U24" i="1"/>
  <c r="W24" i="1" s="1"/>
  <c r="AB24" i="1" l="1"/>
  <c r="AE24" i="1"/>
  <c r="AC24" i="1" s="1"/>
  <c r="AB31" i="1"/>
  <c r="AE31" i="1"/>
  <c r="AC31" i="1" s="1"/>
  <c r="AB67" i="1"/>
  <c r="AE67" i="1"/>
  <c r="AC67" i="1" s="1"/>
  <c r="AB32" i="1"/>
  <c r="AE32" i="1"/>
  <c r="AC32" i="1" s="1"/>
  <c r="AB29" i="1"/>
  <c r="AE29" i="1"/>
  <c r="AC29" i="1" s="1"/>
  <c r="AB35" i="1"/>
  <c r="AE35" i="1"/>
  <c r="AC35" i="1" s="1"/>
  <c r="AB25" i="1"/>
  <c r="AE25" i="1"/>
  <c r="AC25" i="1" s="1"/>
  <c r="AB34" i="1"/>
  <c r="AE34" i="1"/>
  <c r="AC34" i="1" s="1"/>
  <c r="AB27" i="1"/>
  <c r="AE27" i="1"/>
  <c r="AC27" i="1" s="1"/>
  <c r="AB68" i="1"/>
  <c r="AE68" i="1"/>
  <c r="AC68" i="1" s="1"/>
  <c r="AB33" i="1"/>
  <c r="AE33" i="1"/>
  <c r="AC33" i="1" s="1"/>
  <c r="AB26" i="1"/>
  <c r="AE26" i="1"/>
  <c r="AC26" i="1" s="1"/>
  <c r="AB28" i="1"/>
  <c r="AE28" i="1"/>
  <c r="AC28" i="1" s="1"/>
  <c r="AB36" i="1"/>
  <c r="AE36" i="1"/>
  <c r="AC36" i="1" s="1"/>
  <c r="AB42" i="1"/>
  <c r="AE42" i="1"/>
  <c r="AC42" i="1" s="1"/>
  <c r="AB64" i="1"/>
  <c r="AE64" i="1"/>
  <c r="AC64" i="1" s="1"/>
  <c r="AB47" i="1"/>
  <c r="AE47" i="1"/>
  <c r="AC47" i="1" s="1"/>
  <c r="AB51" i="1"/>
  <c r="AE51" i="1"/>
  <c r="AC51" i="1" s="1"/>
  <c r="AB61" i="1"/>
  <c r="AE61" i="1"/>
  <c r="AC61" i="1" s="1"/>
  <c r="AB49" i="1"/>
  <c r="AE49" i="1"/>
  <c r="AC49" i="1" s="1"/>
  <c r="AB66" i="1"/>
  <c r="AE66" i="1"/>
  <c r="AC66" i="1" s="1"/>
  <c r="AB63" i="1"/>
  <c r="AE63" i="1"/>
  <c r="AC63" i="1" s="1"/>
  <c r="AB41" i="1"/>
  <c r="AE41" i="1"/>
  <c r="AC41" i="1" s="1"/>
  <c r="AB37" i="1"/>
  <c r="AE37" i="1"/>
  <c r="AC37" i="1" s="1"/>
  <c r="AB40" i="1"/>
  <c r="AE40" i="1"/>
  <c r="AC40" i="1" s="1"/>
  <c r="AB38" i="1"/>
  <c r="AE38" i="1"/>
  <c r="AC38" i="1" s="1"/>
  <c r="AB55" i="1"/>
  <c r="AE55" i="1"/>
  <c r="AC55" i="1" s="1"/>
  <c r="AB50" i="1"/>
  <c r="AE50" i="1"/>
  <c r="AC50" i="1" s="1"/>
  <c r="AB43" i="1"/>
  <c r="AE43" i="1"/>
  <c r="AC43" i="1" s="1"/>
  <c r="AB59" i="1"/>
  <c r="AE59" i="1"/>
  <c r="AC59" i="1" s="1"/>
  <c r="Y51" i="1"/>
  <c r="Z51" i="1" s="1"/>
  <c r="Y49" i="1"/>
  <c r="Z49" i="1" s="1"/>
  <c r="AB76" i="1"/>
  <c r="X76" i="1" l="1"/>
  <c r="Q76" i="1"/>
  <c r="Z76" i="1" l="1"/>
  <c r="S76" i="1"/>
  <c r="V76" i="1" s="1"/>
  <c r="W76" i="1" s="1"/>
  <c r="Y76" i="1" s="1"/>
  <c r="P77" i="1" s="1"/>
  <c r="AA77" i="1" s="1"/>
  <c r="AB77" i="1" l="1"/>
  <c r="X77" i="1" l="1"/>
  <c r="Q77" i="1"/>
  <c r="Z77" i="1" l="1"/>
  <c r="S77" i="1"/>
  <c r="V77" i="1" s="1"/>
  <c r="W77" i="1" s="1"/>
  <c r="Y77" i="1" s="1"/>
  <c r="P78" i="1" s="1"/>
  <c r="AA78" i="1" s="1"/>
  <c r="AB78" i="1" l="1"/>
  <c r="X78" i="1" l="1"/>
  <c r="Q78" i="1"/>
  <c r="Z78" i="1" l="1"/>
  <c r="S78" i="1"/>
  <c r="V78" i="1" l="1"/>
  <c r="W78" i="1" s="1"/>
  <c r="Y78" i="1" s="1"/>
  <c r="P79" i="1" s="1"/>
  <c r="AA79" i="1" s="1"/>
  <c r="AB79" i="1" l="1"/>
  <c r="X79" i="1" l="1"/>
  <c r="Q79" i="1"/>
  <c r="Z79" i="1" l="1"/>
  <c r="S79" i="1"/>
  <c r="V79" i="1" s="1"/>
  <c r="W79" i="1" s="1"/>
  <c r="Y79" i="1" s="1"/>
  <c r="P80" i="1" s="1"/>
  <c r="AA80" i="1" s="1"/>
  <c r="AB80" i="1" l="1"/>
  <c r="X80" i="1" l="1"/>
  <c r="Q80" i="1"/>
  <c r="S80" i="1" l="1"/>
  <c r="V80" i="1" s="1"/>
  <c r="W80" i="1" s="1"/>
  <c r="Y80" i="1" s="1"/>
  <c r="P81" i="1" s="1"/>
  <c r="AA81" i="1" s="1"/>
  <c r="Z80" i="1"/>
  <c r="AB81" i="1" l="1"/>
  <c r="X81" i="1" l="1"/>
  <c r="Q81" i="1"/>
  <c r="S81" i="1" l="1"/>
  <c r="V81" i="1" s="1"/>
  <c r="W81" i="1" s="1"/>
  <c r="Y81" i="1" s="1"/>
  <c r="P82" i="1" s="1"/>
  <c r="AA82" i="1" s="1"/>
  <c r="Z81" i="1"/>
  <c r="AB82" i="1" l="1"/>
  <c r="X82" i="1" l="1"/>
  <c r="Q82" i="1"/>
  <c r="Z82" i="1" l="1"/>
  <c r="S82" i="1"/>
  <c r="V82" i="1" s="1"/>
  <c r="W82" i="1" s="1"/>
  <c r="Y82" i="1" s="1"/>
  <c r="P83" i="1" s="1"/>
  <c r="AA83" i="1" s="1"/>
  <c r="AB83" i="1" l="1"/>
  <c r="X83" i="1" l="1"/>
  <c r="Q83" i="1"/>
  <c r="Z83" i="1" l="1"/>
  <c r="S83" i="1"/>
  <c r="V83" i="1" s="1"/>
  <c r="W83" i="1" s="1"/>
  <c r="Y83" i="1" s="1"/>
  <c r="P84" i="1" s="1"/>
  <c r="AA84" i="1" s="1"/>
  <c r="AB84" i="1" l="1"/>
  <c r="X84" i="1" l="1"/>
  <c r="Q84" i="1"/>
  <c r="S84" i="1" l="1"/>
  <c r="V84" i="1" s="1"/>
  <c r="W84" i="1" s="1"/>
  <c r="Y84" i="1" s="1"/>
  <c r="P85" i="1" s="1"/>
  <c r="AA85" i="1" s="1"/>
  <c r="Z84" i="1"/>
  <c r="AB85" i="1" l="1"/>
  <c r="X85" i="1" l="1"/>
  <c r="Q85" i="1"/>
  <c r="S85" i="1" l="1"/>
  <c r="V85" i="1" s="1"/>
  <c r="W85" i="1" s="1"/>
  <c r="Y85" i="1" s="1"/>
  <c r="P86" i="1" s="1"/>
  <c r="AA86" i="1" s="1"/>
  <c r="Z85" i="1"/>
  <c r="AB86" i="1" l="1"/>
  <c r="X86" i="1" l="1"/>
  <c r="Q86" i="1"/>
  <c r="S86" i="1" l="1"/>
  <c r="V86" i="1" s="1"/>
  <c r="W86" i="1" s="1"/>
  <c r="Y86" i="1" s="1"/>
  <c r="P87" i="1" s="1"/>
  <c r="AA87" i="1" s="1"/>
  <c r="Z86" i="1"/>
  <c r="AB87" i="1" l="1"/>
  <c r="X87" i="1" l="1"/>
  <c r="Q87" i="1"/>
  <c r="Z87" i="1" l="1"/>
  <c r="S87" i="1"/>
  <c r="V87" i="1" s="1"/>
  <c r="W87" i="1" s="1"/>
  <c r="Y87" i="1" s="1"/>
  <c r="P88" i="1" s="1"/>
  <c r="AA88" i="1" s="1"/>
  <c r="AB88" i="1" l="1"/>
  <c r="X88" i="1" l="1"/>
  <c r="Q88" i="1"/>
  <c r="Z88" i="1" l="1"/>
  <c r="S88" i="1"/>
  <c r="V88" i="1" s="1"/>
  <c r="W88" i="1" s="1"/>
  <c r="Y88" i="1" s="1"/>
  <c r="P89" i="1" s="1"/>
  <c r="AA89" i="1" s="1"/>
  <c r="AB89" i="1" l="1"/>
  <c r="X89" i="1" l="1"/>
  <c r="Q89" i="1"/>
  <c r="S89" i="1" l="1"/>
  <c r="V89" i="1" s="1"/>
  <c r="W89" i="1" s="1"/>
  <c r="Y89" i="1" s="1"/>
  <c r="P90" i="1" s="1"/>
  <c r="AA90" i="1" s="1"/>
  <c r="Z89" i="1"/>
  <c r="AB90" i="1" l="1"/>
  <c r="X90" i="1" l="1"/>
  <c r="Q90" i="1"/>
  <c r="S90" i="1" l="1"/>
  <c r="V90" i="1" s="1"/>
  <c r="W90" i="1" s="1"/>
  <c r="Y90" i="1" s="1"/>
  <c r="P91" i="1" s="1"/>
  <c r="AA91" i="1" s="1"/>
  <c r="Z90" i="1"/>
  <c r="AB91" i="1" l="1"/>
  <c r="X91" i="1" l="1"/>
  <c r="Q91" i="1"/>
  <c r="Z91" i="1" l="1"/>
  <c r="S91" i="1"/>
  <c r="V91" i="1" s="1"/>
  <c r="W91" i="1" s="1"/>
  <c r="Y91" i="1" s="1"/>
  <c r="P92" i="1" s="1"/>
  <c r="AA92" i="1" s="1"/>
  <c r="AB92" i="1" l="1"/>
  <c r="X92" i="1" l="1"/>
  <c r="Q92" i="1"/>
  <c r="S92" i="1" l="1"/>
  <c r="V92" i="1" s="1"/>
  <c r="W92" i="1" s="1"/>
  <c r="Y92" i="1" s="1"/>
  <c r="P93" i="1" s="1"/>
  <c r="AA93" i="1" s="1"/>
  <c r="Z92" i="1"/>
  <c r="AB93" i="1" l="1"/>
  <c r="X93" i="1" l="1"/>
  <c r="Q93" i="1"/>
  <c r="Z93" i="1" l="1"/>
  <c r="S93" i="1"/>
  <c r="V93" i="1" s="1"/>
  <c r="W93" i="1" s="1"/>
  <c r="Y93" i="1" s="1"/>
  <c r="P94" i="1" s="1"/>
  <c r="AA94" i="1" s="1"/>
  <c r="AB94" i="1" l="1"/>
  <c r="X94" i="1" l="1"/>
  <c r="Q94" i="1"/>
  <c r="Z94" i="1" l="1"/>
  <c r="S94" i="1"/>
  <c r="V94" i="1" s="1"/>
  <c r="W94" i="1" s="1"/>
  <c r="Y94" i="1" s="1"/>
  <c r="P95" i="1" s="1"/>
  <c r="AA95" i="1" s="1"/>
  <c r="AB95" i="1" l="1"/>
  <c r="X95" i="1" l="1"/>
  <c r="Q95" i="1"/>
  <c r="S95" i="1" l="1"/>
  <c r="V95" i="1" s="1"/>
  <c r="W95" i="1" s="1"/>
  <c r="Y95" i="1" s="1"/>
  <c r="P96" i="1" s="1"/>
  <c r="AA96" i="1" s="1"/>
  <c r="Z95" i="1"/>
  <c r="AB96" i="1" l="1"/>
  <c r="X96" i="1" l="1"/>
  <c r="Q96" i="1"/>
  <c r="S96" i="1" l="1"/>
  <c r="V96" i="1" s="1"/>
  <c r="W96" i="1" s="1"/>
  <c r="Y96" i="1" s="1"/>
  <c r="P97" i="1" s="1"/>
  <c r="AA97" i="1" s="1"/>
  <c r="Z96" i="1"/>
  <c r="AB97" i="1" l="1"/>
  <c r="X97" i="1" l="1"/>
  <c r="Q97" i="1"/>
  <c r="Z97" i="1" l="1"/>
  <c r="S97" i="1"/>
  <c r="V97" i="1" s="1"/>
  <c r="W97" i="1" s="1"/>
  <c r="Y97" i="1" s="1"/>
  <c r="P98" i="1" s="1"/>
  <c r="AA98" i="1" s="1"/>
  <c r="AB98" i="1" l="1"/>
  <c r="X98" i="1" l="1"/>
  <c r="Q98" i="1"/>
  <c r="S98" i="1" l="1"/>
  <c r="V98" i="1" s="1"/>
  <c r="W98" i="1" s="1"/>
  <c r="Y98" i="1" s="1"/>
  <c r="P99" i="1" s="1"/>
  <c r="Z98" i="1"/>
  <c r="AA99" i="1" l="1"/>
  <c r="AB99" i="1"/>
  <c r="X99" i="1" l="1"/>
  <c r="Q99" i="1"/>
  <c r="S99" i="1" l="1"/>
  <c r="V99" i="1" s="1"/>
  <c r="W99" i="1" s="1"/>
  <c r="Y99" i="1" s="1"/>
  <c r="P100" i="1" s="1"/>
  <c r="Z99" i="1"/>
  <c r="AA100" i="1" l="1"/>
  <c r="AB100" i="1"/>
  <c r="X100" i="1" l="1"/>
  <c r="Q100" i="1"/>
  <c r="S100" i="1" l="1"/>
  <c r="Z100" i="1"/>
  <c r="V100" i="1" l="1"/>
  <c r="W100" i="1" s="1"/>
  <c r="Y100" i="1" s="1"/>
  <c r="P101" i="1" s="1"/>
  <c r="AA101" i="1" l="1"/>
  <c r="AB101" i="1"/>
  <c r="X101" i="1" l="1"/>
  <c r="Q101" i="1"/>
  <c r="Z101" i="1" l="1"/>
  <c r="S101" i="1"/>
  <c r="V101" i="1" l="1"/>
  <c r="W101" i="1" s="1"/>
  <c r="Y101" i="1" s="1"/>
  <c r="P102" i="1" s="1"/>
  <c r="AA102" i="1" l="1"/>
  <c r="AB102" i="1"/>
  <c r="X102" i="1" l="1"/>
  <c r="Q102" i="1"/>
  <c r="Z102" i="1" l="1"/>
  <c r="S102" i="1"/>
  <c r="V102" i="1" l="1"/>
  <c r="W102" i="1" s="1"/>
  <c r="Y102" i="1" s="1"/>
  <c r="P103" i="1" s="1"/>
  <c r="AA103" i="1" l="1"/>
  <c r="AB103" i="1"/>
  <c r="X103" i="1" l="1"/>
  <c r="Q103" i="1"/>
  <c r="Z103" i="1" l="1"/>
  <c r="S103" i="1"/>
  <c r="V103" i="1" l="1"/>
  <c r="W103" i="1" s="1"/>
  <c r="Y103" i="1" s="1"/>
  <c r="P104" i="1" s="1"/>
  <c r="AA104" i="1" l="1"/>
  <c r="AB104" i="1"/>
  <c r="X104" i="1" l="1"/>
  <c r="Q104" i="1"/>
  <c r="Z104" i="1" l="1"/>
  <c r="S104" i="1"/>
  <c r="V104" i="1" l="1"/>
  <c r="W104" i="1" s="1"/>
  <c r="Y104" i="1" s="1"/>
  <c r="P105" i="1" s="1"/>
  <c r="AA105" i="1" l="1"/>
  <c r="AB105" i="1"/>
  <c r="X105" i="1" l="1"/>
  <c r="Q105" i="1"/>
  <c r="S105" i="1" l="1"/>
  <c r="V105" i="1" s="1"/>
  <c r="W105" i="1" s="1"/>
  <c r="Y105" i="1" s="1"/>
  <c r="P106" i="1" s="1"/>
  <c r="Z105" i="1"/>
  <c r="AA106" i="1" l="1"/>
  <c r="AB106" i="1"/>
  <c r="Q106" i="1" l="1"/>
  <c r="X106" i="1"/>
  <c r="Z106" i="1" l="1"/>
  <c r="S106" i="1"/>
  <c r="V106" i="1" s="1"/>
  <c r="W106" i="1" s="1"/>
  <c r="Y106" i="1" s="1"/>
  <c r="P107" i="1" s="1"/>
  <c r="AA107" i="1" l="1"/>
  <c r="AB107" i="1"/>
  <c r="Q107" i="1" l="1"/>
  <c r="X107" i="1"/>
  <c r="S107" i="1" l="1"/>
  <c r="Z107" i="1"/>
  <c r="V107" i="1" l="1"/>
  <c r="W107" i="1" s="1"/>
  <c r="Y107" i="1" s="1"/>
  <c r="P108" i="1" s="1"/>
  <c r="AA108" i="1" l="1"/>
  <c r="AB108" i="1"/>
  <c r="X108" i="1" l="1"/>
  <c r="Q108" i="1"/>
  <c r="Z108" i="1" l="1"/>
  <c r="S108" i="1"/>
  <c r="V108" i="1" l="1"/>
  <c r="W108" i="1" s="1"/>
  <c r="Y108" i="1" s="1"/>
  <c r="P109" i="1" s="1"/>
  <c r="AA109" i="1" l="1"/>
  <c r="AB109" i="1"/>
  <c r="X109" i="1" l="1"/>
  <c r="Q109" i="1"/>
  <c r="S109" i="1" l="1"/>
  <c r="Z109" i="1"/>
  <c r="V109" i="1" l="1"/>
  <c r="W109" i="1" s="1"/>
  <c r="Y109" i="1" s="1"/>
  <c r="P110" i="1" s="1"/>
  <c r="AA110" i="1" l="1"/>
  <c r="AB110" i="1"/>
  <c r="Q110" i="1" l="1"/>
  <c r="X110" i="1"/>
  <c r="Z110" i="1" l="1"/>
  <c r="S110" i="1"/>
  <c r="V110" i="1" l="1"/>
  <c r="W110" i="1" s="1"/>
  <c r="Y110" i="1" s="1"/>
  <c r="P111" i="1" s="1"/>
  <c r="AA111" i="1" l="1"/>
  <c r="AB111" i="1"/>
  <c r="X111" i="1" l="1"/>
  <c r="Q111" i="1"/>
  <c r="S111" i="1" l="1"/>
  <c r="V111" i="1" s="1"/>
  <c r="W111" i="1" s="1"/>
  <c r="Y111" i="1" s="1"/>
  <c r="P112" i="1" s="1"/>
  <c r="Z111" i="1"/>
  <c r="AA112" i="1" l="1"/>
  <c r="AB112" i="1"/>
  <c r="X112" i="1" l="1"/>
  <c r="Q112" i="1"/>
  <c r="S112" i="1" l="1"/>
  <c r="V112" i="1" s="1"/>
  <c r="W112" i="1" s="1"/>
  <c r="Y112" i="1" s="1"/>
  <c r="P113" i="1" s="1"/>
  <c r="Z112" i="1"/>
  <c r="AA113" i="1" l="1"/>
  <c r="AB113" i="1"/>
  <c r="X113" i="1" l="1"/>
  <c r="Q113" i="1"/>
  <c r="S113" i="1" l="1"/>
  <c r="V113" i="1" s="1"/>
  <c r="W113" i="1" s="1"/>
  <c r="Y113" i="1" s="1"/>
  <c r="P114" i="1" s="1"/>
  <c r="Z113" i="1"/>
  <c r="AA114" i="1" l="1"/>
  <c r="AB114" i="1"/>
  <c r="Q114" i="1" l="1"/>
  <c r="X114" i="1"/>
  <c r="Z114" i="1" l="1"/>
  <c r="S114" i="1"/>
  <c r="V114" i="1" l="1"/>
  <c r="W114" i="1" s="1"/>
  <c r="Y114" i="1" s="1"/>
  <c r="P115" i="1" s="1"/>
  <c r="AA115" i="1" l="1"/>
  <c r="AB115" i="1"/>
  <c r="Q115" i="1" l="1"/>
  <c r="X115" i="1"/>
  <c r="Z115" i="1" l="1"/>
  <c r="S115" i="1"/>
  <c r="V115" i="1" s="1"/>
  <c r="W115" i="1" s="1"/>
  <c r="Y115" i="1" s="1"/>
  <c r="P116" i="1" s="1"/>
  <c r="AA116" i="1" l="1"/>
  <c r="AB116" i="1"/>
  <c r="Q116" i="1" l="1"/>
  <c r="X116" i="1"/>
  <c r="Z116" i="1" l="1"/>
  <c r="S116" i="1"/>
  <c r="V116" i="1" l="1"/>
  <c r="W116" i="1" s="1"/>
  <c r="Y116" i="1" s="1"/>
  <c r="P117" i="1" s="1"/>
  <c r="AA117" i="1" l="1"/>
  <c r="AB117" i="1"/>
  <c r="Q117" i="1" l="1"/>
  <c r="X117" i="1"/>
  <c r="Z117" i="1" l="1"/>
  <c r="S117" i="1"/>
  <c r="V117" i="1" s="1"/>
  <c r="W117" i="1" s="1"/>
  <c r="Y117" i="1" s="1"/>
  <c r="P118" i="1" s="1"/>
  <c r="AA118" i="1" l="1"/>
  <c r="AB118" i="1"/>
  <c r="Q118" i="1" l="1"/>
  <c r="X118" i="1"/>
  <c r="S118" i="1" l="1"/>
  <c r="Z118" i="1"/>
  <c r="V118" i="1" l="1"/>
  <c r="W118" i="1" s="1"/>
  <c r="Y118" i="1" s="1"/>
  <c r="P119" i="1" s="1"/>
  <c r="AA119" i="1" l="1"/>
  <c r="AB119" i="1"/>
  <c r="Q119" i="1" l="1"/>
  <c r="X119" i="1"/>
  <c r="Z119" i="1" l="1"/>
  <c r="S119" i="1"/>
  <c r="V119" i="1" s="1"/>
  <c r="W119" i="1" s="1"/>
  <c r="Y119" i="1" s="1"/>
  <c r="P120" i="1" s="1"/>
  <c r="AA120" i="1" l="1"/>
  <c r="AB120" i="1"/>
  <c r="Q120" i="1" l="1"/>
  <c r="X120" i="1"/>
  <c r="S120" i="1" l="1"/>
  <c r="Z120" i="1"/>
  <c r="V120" i="1" l="1"/>
  <c r="W120" i="1" s="1"/>
  <c r="Y120" i="1" s="1"/>
  <c r="P121" i="1" s="1"/>
  <c r="AA121" i="1" l="1"/>
  <c r="AB121" i="1"/>
  <c r="X121" i="1" l="1"/>
  <c r="Q121" i="1"/>
  <c r="S121" i="1" l="1"/>
  <c r="Z121" i="1"/>
  <c r="V121" i="1" l="1"/>
  <c r="W121" i="1" s="1"/>
  <c r="Y121" i="1" s="1"/>
  <c r="P122" i="1" s="1"/>
  <c r="AA122" i="1" l="1"/>
  <c r="AB122" i="1"/>
  <c r="Q122" i="1" l="1"/>
  <c r="X122" i="1"/>
  <c r="Z122" i="1" l="1"/>
  <c r="S122" i="1"/>
  <c r="V122" i="1" s="1"/>
  <c r="W122" i="1" s="1"/>
  <c r="Y122" i="1" s="1"/>
  <c r="P123" i="1" s="1"/>
  <c r="AA123" i="1" l="1"/>
  <c r="AB123" i="1"/>
  <c r="Q123" i="1" l="1"/>
  <c r="X123" i="1"/>
  <c r="S123" i="1" l="1"/>
  <c r="V123" i="1" s="1"/>
  <c r="W123" i="1" s="1"/>
  <c r="Y123" i="1" s="1"/>
  <c r="P124" i="1" s="1"/>
  <c r="Z123" i="1"/>
  <c r="AA124" i="1" l="1"/>
  <c r="AB124" i="1"/>
  <c r="Q124" i="1" l="1"/>
  <c r="X124" i="1"/>
  <c r="Z124" i="1" l="1"/>
  <c r="S124" i="1"/>
  <c r="V124" i="1" s="1"/>
  <c r="W124" i="1" s="1"/>
  <c r="Y124" i="1" s="1"/>
  <c r="P125" i="1" s="1"/>
  <c r="AA125" i="1" l="1"/>
  <c r="AB125" i="1"/>
  <c r="Q125" i="1" l="1"/>
  <c r="X125" i="1"/>
  <c r="S125" i="1" l="1"/>
  <c r="Z125" i="1"/>
  <c r="V125" i="1" l="1"/>
  <c r="W125" i="1" s="1"/>
  <c r="Y125" i="1" s="1"/>
  <c r="P126" i="1" s="1"/>
  <c r="AA126" i="1" l="1"/>
  <c r="AB126" i="1"/>
  <c r="Q126" i="1" l="1"/>
  <c r="X126" i="1"/>
  <c r="Z126" i="1" l="1"/>
  <c r="S126" i="1"/>
  <c r="V126" i="1" s="1"/>
  <c r="W126" i="1" s="1"/>
  <c r="Y126" i="1" s="1"/>
  <c r="P127" i="1" s="1"/>
  <c r="AA127" i="1" l="1"/>
  <c r="AB127" i="1"/>
  <c r="Q127" i="1" l="1"/>
  <c r="X127" i="1"/>
  <c r="S127" i="1" l="1"/>
  <c r="Z127" i="1"/>
  <c r="V127" i="1" l="1"/>
  <c r="W127" i="1" s="1"/>
  <c r="Y127" i="1" s="1"/>
  <c r="P128" i="1" s="1"/>
  <c r="AA128" i="1" l="1"/>
  <c r="AB128" i="1"/>
  <c r="Q128" i="1" l="1"/>
  <c r="X128" i="1"/>
  <c r="Z128" i="1" l="1"/>
  <c r="S128" i="1"/>
  <c r="V128" i="1" s="1"/>
  <c r="W128" i="1" s="1"/>
  <c r="Y128" i="1" s="1"/>
  <c r="P129" i="1" s="1"/>
  <c r="AA129" i="1" l="1"/>
  <c r="AB129" i="1"/>
  <c r="Q129" i="1" l="1"/>
  <c r="X129" i="1"/>
  <c r="Z129" i="1" l="1"/>
  <c r="S129" i="1"/>
  <c r="V129" i="1" s="1"/>
  <c r="W129" i="1" s="1"/>
  <c r="Y129" i="1" s="1"/>
  <c r="P130" i="1" s="1"/>
  <c r="AA130" i="1" l="1"/>
  <c r="AB130" i="1"/>
  <c r="Q130" i="1" l="1"/>
  <c r="X130" i="1"/>
  <c r="S130" i="1" l="1"/>
  <c r="V130" i="1" s="1"/>
  <c r="W130" i="1" s="1"/>
  <c r="Y130" i="1" s="1"/>
  <c r="P131" i="1" s="1"/>
  <c r="Z130" i="1"/>
  <c r="AA131" i="1" l="1"/>
  <c r="AB131" i="1"/>
  <c r="Q131" i="1" l="1"/>
  <c r="X131" i="1"/>
  <c r="S131" i="1" l="1"/>
  <c r="V131" i="1" s="1"/>
  <c r="W131" i="1" s="1"/>
  <c r="Y131" i="1" s="1"/>
  <c r="P132" i="1" s="1"/>
  <c r="Z131" i="1"/>
  <c r="AA132" i="1" l="1"/>
  <c r="AB132" i="1"/>
  <c r="Q132" i="1" l="1"/>
  <c r="X132" i="1"/>
  <c r="S132" i="1" l="1"/>
  <c r="V132" i="1" s="1"/>
  <c r="W132" i="1" s="1"/>
  <c r="Y132" i="1" s="1"/>
  <c r="P133" i="1" s="1"/>
  <c r="Z132" i="1"/>
  <c r="AA133" i="1" l="1"/>
  <c r="AB133" i="1"/>
  <c r="Q133" i="1" l="1"/>
  <c r="X133" i="1"/>
  <c r="S133" i="1" l="1"/>
  <c r="V133" i="1" s="1"/>
  <c r="W133" i="1" s="1"/>
  <c r="Y133" i="1" s="1"/>
  <c r="P134" i="1" s="1"/>
  <c r="Z133" i="1"/>
  <c r="AA134" i="1" l="1"/>
  <c r="AB134" i="1"/>
  <c r="Q134" i="1" l="1"/>
  <c r="X134" i="1"/>
  <c r="S134" i="1" l="1"/>
  <c r="V134" i="1" s="1"/>
  <c r="W134" i="1" s="1"/>
  <c r="Y134" i="1" s="1"/>
  <c r="Z134" i="1"/>
  <c r="B39" i="1"/>
  <c r="B40" i="1"/>
  <c r="K2" i="3"/>
  <c r="K4" i="3" l="1"/>
  <c r="K5" i="3"/>
  <c r="B14" i="4" l="1"/>
</calcChain>
</file>

<file path=xl/sharedStrings.xml><?xml version="1.0" encoding="utf-8"?>
<sst xmlns="http://schemas.openxmlformats.org/spreadsheetml/2006/main" count="358" uniqueCount="228">
  <si>
    <t>T</t>
  </si>
  <si>
    <t>KIAS</t>
  </si>
  <si>
    <t>CD0</t>
  </si>
  <si>
    <t>Wt</t>
  </si>
  <si>
    <t>MACH</t>
  </si>
  <si>
    <t>q (psf)</t>
  </si>
  <si>
    <t>CL</t>
  </si>
  <si>
    <t>Sref</t>
  </si>
  <si>
    <t>sq.ft.</t>
  </si>
  <si>
    <t>lbf</t>
  </si>
  <si>
    <t>CD</t>
  </si>
  <si>
    <t>Drag (lbf)</t>
  </si>
  <si>
    <t>AR * e</t>
  </si>
  <si>
    <t>Ps</t>
  </si>
  <si>
    <t>neng</t>
  </si>
  <si>
    <t>CONFIGURATION VARIABLES</t>
  </si>
  <si>
    <t>Clmax</t>
  </si>
  <si>
    <t>Stall Speed Ratio</t>
  </si>
  <si>
    <t>L/D</t>
  </si>
  <si>
    <t>M(L/D)</t>
  </si>
  <si>
    <t>RUNWAY PERFORMANCE</t>
  </si>
  <si>
    <t>Drag</t>
  </si>
  <si>
    <t>Stall Speed</t>
  </si>
  <si>
    <t>Stall Speed "q"</t>
  </si>
  <si>
    <t>psf</t>
  </si>
  <si>
    <t>stall speed mach</t>
  </si>
  <si>
    <t>t (sec)</t>
  </si>
  <si>
    <t>v (ft/s)</t>
  </si>
  <si>
    <t>dist (ft)</t>
  </si>
  <si>
    <t>CL @ a=0</t>
  </si>
  <si>
    <t>Lift</t>
  </si>
  <si>
    <t>Stall Speed Margin (kias)</t>
  </si>
  <si>
    <t>Thrust-estimate (lbf)</t>
  </si>
  <si>
    <t>stall speed KIAS</t>
  </si>
  <si>
    <t>kias</t>
  </si>
  <si>
    <t>ROC (ft/min)</t>
  </si>
  <si>
    <t>ROC @ Clmax (ft/min)</t>
  </si>
  <si>
    <t>Max. Instant G's</t>
  </si>
  <si>
    <t>rolling resistance</t>
  </si>
  <si>
    <t>a</t>
  </si>
  <si>
    <t>b</t>
  </si>
  <si>
    <t>c</t>
  </si>
  <si>
    <t>Battery Weight</t>
  </si>
  <si>
    <t>Air Speed</t>
  </si>
  <si>
    <t>Thrust</t>
  </si>
  <si>
    <t>x^2</t>
  </si>
  <si>
    <t>x</t>
  </si>
  <si>
    <t>Graupner 5.5x4.3</t>
  </si>
  <si>
    <t>HeadWind</t>
  </si>
  <si>
    <t>kts</t>
  </si>
  <si>
    <t xml:space="preserve">lbm  </t>
  </si>
  <si>
    <t>AIR DEVILS TAKEOFF / LEVEL AND PERFORMANCE CODE</t>
  </si>
  <si>
    <t>Aircraft Weight</t>
  </si>
  <si>
    <t>lbm</t>
  </si>
  <si>
    <t>Mission 1 Weight</t>
  </si>
  <si>
    <t>Misssion 2 Weight</t>
  </si>
  <si>
    <t>Mission 3 Weight</t>
  </si>
  <si>
    <t># Pax</t>
  </si>
  <si>
    <t>oz</t>
  </si>
  <si>
    <t>Wt per pax</t>
  </si>
  <si>
    <t># Blox</t>
  </si>
  <si>
    <t>Wt per blox</t>
  </si>
  <si>
    <t>Mission 2 Top Speed</t>
  </si>
  <si>
    <t>Est Lap Time</t>
  </si>
  <si>
    <t>sec</t>
  </si>
  <si>
    <t>Mission 2 (3 lap time)</t>
  </si>
  <si>
    <t>Mission 3 Top Speed</t>
  </si>
  <si>
    <t>Mission 3 (10 min laps)</t>
  </si>
  <si>
    <t>laps</t>
  </si>
  <si>
    <t>Wingspan</t>
  </si>
  <si>
    <t>ft</t>
  </si>
  <si>
    <t>AR = span ^ 2 / Sref  ==&gt; span = sqrt( AR * Sref)</t>
  </si>
  <si>
    <t>in</t>
  </si>
  <si>
    <t>benchmark</t>
  </si>
  <si>
    <t>Mission 1 projected score</t>
  </si>
  <si>
    <t>Mission 2 projected score</t>
  </si>
  <si>
    <t>Mission 3 projected score</t>
  </si>
  <si>
    <t>RAC</t>
  </si>
  <si>
    <t>Overall Score</t>
  </si>
  <si>
    <t>Est Report Score</t>
  </si>
  <si>
    <t>pax</t>
  </si>
  <si>
    <t>Stall Speed - Mission 1</t>
  </si>
  <si>
    <t>Top Speed - Mission 1</t>
  </si>
  <si>
    <t>T/O dist - Mission 1</t>
  </si>
  <si>
    <t>Stall Speed - Mission 2</t>
  </si>
  <si>
    <t>Top Speed - Mission 2</t>
  </si>
  <si>
    <t>T/O dist - Mission 2</t>
  </si>
  <si>
    <t>T/O dist - Mission 3</t>
  </si>
  <si>
    <t>Stall Speed - Mission 3</t>
  </si>
  <si>
    <t>Top Speed - Mission 3</t>
  </si>
  <si>
    <t>1-g</t>
  </si>
  <si>
    <t xml:space="preserve"> @ CLmax</t>
  </si>
  <si>
    <t>Empty Weight (minus bat)</t>
  </si>
  <si>
    <t>Spi</t>
  </si>
  <si>
    <t>AR</t>
  </si>
  <si>
    <t>ZERO LIFT DRAG BUILDUP</t>
  </si>
  <si>
    <t>Design Conditions - nominally sea level</t>
  </si>
  <si>
    <t>Des_KIAS</t>
  </si>
  <si>
    <t>Des_Mach</t>
  </si>
  <si>
    <t>Re/ft</t>
  </si>
  <si>
    <t>q</t>
  </si>
  <si>
    <t>lbf/ft^2</t>
  </si>
  <si>
    <t>AIRCRAFT GEOMETRY</t>
  </si>
  <si>
    <t>ft^2</t>
  </si>
  <si>
    <t>Wspan</t>
  </si>
  <si>
    <t xml:space="preserve">ft </t>
  </si>
  <si>
    <t>Chord</t>
  </si>
  <si>
    <t>WING</t>
  </si>
  <si>
    <t>FUSE</t>
  </si>
  <si>
    <t>Swet</t>
  </si>
  <si>
    <t>FF</t>
  </si>
  <si>
    <t>Cf</t>
  </si>
  <si>
    <t>HT</t>
  </si>
  <si>
    <t>VT</t>
  </si>
  <si>
    <t>Re</t>
  </si>
  <si>
    <t>t/c</t>
  </si>
  <si>
    <t>OVERALL ZERO-LIFT DRAG ESTIMATE</t>
  </si>
  <si>
    <t>FUSE BASE</t>
  </si>
  <si>
    <t>LANDING GEAR</t>
  </si>
  <si>
    <t>HORZ TAIL</t>
  </si>
  <si>
    <t>Splanform</t>
  </si>
  <si>
    <t>VERT TAIL</t>
  </si>
  <si>
    <t>FUSELAGE</t>
  </si>
  <si>
    <t>Length</t>
  </si>
  <si>
    <t>Width</t>
  </si>
  <si>
    <t>Height</t>
  </si>
  <si>
    <t>Base Area</t>
  </si>
  <si>
    <t>Tire Di</t>
  </si>
  <si>
    <t>Tire Wi</t>
  </si>
  <si>
    <t>BaseArea</t>
  </si>
  <si>
    <t>d/l</t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</si>
  <si>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CD0</t>
    </r>
  </si>
  <si>
    <t>sync</t>
  </si>
  <si>
    <t>penalty function  (=1 if OK, 0.1 if bat cap, t/o dist or maneuver margin is poor)</t>
  </si>
  <si>
    <t>Spec Ex Thrust</t>
  </si>
  <si>
    <t>Spec Ex Thrust @ CLmax</t>
  </si>
  <si>
    <t>Passengers/row</t>
  </si>
  <si>
    <t>Rows of Passengers</t>
  </si>
  <si>
    <t>Total passengers</t>
  </si>
  <si>
    <t>Cargo/row</t>
  </si>
  <si>
    <t>Cargo Rows</t>
  </si>
  <si>
    <t>Weight (oz)</t>
  </si>
  <si>
    <t>Passenger Weight (lb)</t>
  </si>
  <si>
    <t>Passenger Dimensions</t>
  </si>
  <si>
    <t>Cargo Weight (lb)</t>
  </si>
  <si>
    <t>Cargo Dimensions</t>
  </si>
  <si>
    <t>50% Pax Weight (M3)</t>
  </si>
  <si>
    <t>100% Pax Weight (M3)</t>
  </si>
  <si>
    <t>Min Width (in)</t>
  </si>
  <si>
    <t>Min Length (in)</t>
  </si>
  <si>
    <t>Min Height (in)</t>
  </si>
  <si>
    <t>Total Cargo</t>
  </si>
  <si>
    <t>Crud Width (in)</t>
  </si>
  <si>
    <t>Crud Height (in)</t>
  </si>
  <si>
    <t>Total Width (in)</t>
  </si>
  <si>
    <t>Total Length (in)</t>
  </si>
  <si>
    <t>Total height (in)</t>
  </si>
  <si>
    <t>full payload</t>
  </si>
  <si>
    <t>CDA</t>
  </si>
  <si>
    <t>\</t>
  </si>
  <si>
    <t>REDONE FOR SQUARE FUSELAGE</t>
  </si>
  <si>
    <t>Crud Length [Nose] (in)</t>
  </si>
  <si>
    <t>Crud Length [Tail] (in)</t>
  </si>
  <si>
    <t>SWET Calculations for rectangular plane</t>
  </si>
  <si>
    <t>Tail Swet (in^2)</t>
  </si>
  <si>
    <t>Nose Swet</t>
  </si>
  <si>
    <t>Total Fuse Swet</t>
  </si>
  <si>
    <t>Mid Swet</t>
  </si>
  <si>
    <t>Tail End Width (in)</t>
  </si>
  <si>
    <t>Tail End Height (in)</t>
  </si>
  <si>
    <t>LG Width (in)</t>
  </si>
  <si>
    <t>LG Height (in)</t>
  </si>
  <si>
    <t>Servo Width (in)</t>
  </si>
  <si>
    <t>Servo Height (in)</t>
  </si>
  <si>
    <t>Trunion Width (in)</t>
  </si>
  <si>
    <t>Trunion Height (in)</t>
  </si>
  <si>
    <t>Tail Area (in^2)</t>
  </si>
  <si>
    <t>LG Area (in^2)</t>
  </si>
  <si>
    <t>Servo Area (in^2)</t>
  </si>
  <si>
    <t>Trunion Area (in^2)</t>
  </si>
  <si>
    <t>Total Area (in^2)</t>
  </si>
  <si>
    <t>Surface</t>
  </si>
  <si>
    <t>in^2</t>
  </si>
  <si>
    <t>Aft-Facing Area</t>
  </si>
  <si>
    <t>ORIGINAL</t>
  </si>
  <si>
    <t>Turning Stall Speed Margin</t>
  </si>
  <si>
    <t>Aircraft Empty Weight</t>
  </si>
  <si>
    <t>HORIZ TAIL</t>
  </si>
  <si>
    <t>MATERIAL DENSITY</t>
  </si>
  <si>
    <t>Balsa</t>
  </si>
  <si>
    <t>lb/in^3</t>
  </si>
  <si>
    <t>Foam</t>
  </si>
  <si>
    <t>Find out correct density</t>
  </si>
  <si>
    <t>Sairfoil/c</t>
  </si>
  <si>
    <t>Span</t>
  </si>
  <si>
    <t>VOLUME</t>
  </si>
  <si>
    <t>WEIGHT</t>
  </si>
  <si>
    <t>Wing</t>
  </si>
  <si>
    <t>ft^3</t>
  </si>
  <si>
    <t>in^3</t>
  </si>
  <si>
    <t>lb</t>
  </si>
  <si>
    <t>Fuselage</t>
  </si>
  <si>
    <t>Horiz Tail</t>
  </si>
  <si>
    <t>Vert Tail</t>
  </si>
  <si>
    <t>TOTAL EMPTY WEIGHT</t>
  </si>
  <si>
    <t>version 2.1.6 - w/ macros for trade studies, named cells, zero-lift-drag calculator, parametric weight and aircraft dimension calculator</t>
  </si>
  <si>
    <t>ma/hr-per bat pax</t>
  </si>
  <si>
    <t>ma</t>
  </si>
  <si>
    <t>num packs</t>
  </si>
  <si>
    <t>test endurance @ full pwr</t>
  </si>
  <si>
    <t>Predicted Endurance</t>
  </si>
  <si>
    <t>min</t>
  </si>
  <si>
    <t>oz payload</t>
  </si>
  <si>
    <t>&lt;= this looks plausible</t>
  </si>
  <si>
    <t>&lt;= this isnt, the fuselage weight isnt proportional to its volume</t>
  </si>
  <si>
    <t>Motors</t>
  </si>
  <si>
    <t>&lt;= what is the weight of the motors + props</t>
  </si>
  <si>
    <t>Radio / Servos / Wiring</t>
  </si>
  <si>
    <t>&lt;= what is the weight of the radio + servos + wiring?</t>
  </si>
  <si>
    <t>Landing Gear</t>
  </si>
  <si>
    <t>&lt;= what's the weight of the wheels and stuff</t>
  </si>
  <si>
    <t>250W Sept 2015 data</t>
  </si>
  <si>
    <t>5% crud?</t>
  </si>
  <si>
    <t>note: this model is very immature!</t>
  </si>
  <si>
    <t>gradient (%)</t>
  </si>
  <si>
    <t>climbout flight path angle (deg)</t>
  </si>
  <si>
    <t>horizon elevation angle (deg)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</si>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</sst>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9" fontId="3" fillId="0" borderId="0" applyFont="0" applyFill="0" applyBorder="0" applyAlignment="0" applyProtection="0"/>
    <xf numFmtId="0" fontId="4" fillId="3" borderId="0" applyNumberFormat="0" applyBorder="0" applyAlignment="0" applyProtection="0"/>
    <xf numFmtId="0" fontId="5" fillId="5" borderId="11" applyNumberFormat="0" applyAlignment="0" applyProtection="0"/>
  </cellStyleXfs>
  <cellXfs count="1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1"/>
    <xf numFmtId="0" fontId="4" fillId="3" borderId="0" xfId="3"/>
    <xf numFmtId="0" fontId="0" fillId="4" borderId="2" xfId="0" applyFill="1" applyBorder="1" applyAlignment="1">
      <alignment wrapText="1"/>
    </xf>
    <xf numFmtId="0" fontId="0" fillId="0" borderId="2" xfId="0" applyBorder="1"/>
    <xf numFmtId="164" fontId="0" fillId="0" borderId="2" xfId="0" applyNumberFormat="1" applyBorder="1"/>
    <xf numFmtId="2" fontId="0" fillId="0" borderId="2" xfId="0" applyNumberFormat="1" applyBorder="1"/>
    <xf numFmtId="165" fontId="0" fillId="0" borderId="2" xfId="0" applyNumberFormat="1" applyBorder="1"/>
    <xf numFmtId="9" fontId="0" fillId="0" borderId="2" xfId="2" applyNumberFormat="1" applyFont="1" applyBorder="1"/>
    <xf numFmtId="166" fontId="0" fillId="0" borderId="2" xfId="0" applyNumberFormat="1" applyBorder="1"/>
    <xf numFmtId="0" fontId="0" fillId="0" borderId="6" xfId="0" applyBorder="1"/>
    <xf numFmtId="166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2" fontId="0" fillId="0" borderId="9" xfId="0" applyNumberFormat="1" applyBorder="1"/>
    <xf numFmtId="165" fontId="0" fillId="0" borderId="9" xfId="0" applyNumberFormat="1" applyBorder="1"/>
    <xf numFmtId="9" fontId="0" fillId="0" borderId="9" xfId="2" applyNumberFormat="1" applyFont="1" applyBorder="1"/>
    <xf numFmtId="166" fontId="0" fillId="0" borderId="10" xfId="0" applyNumberFormat="1" applyBorder="1"/>
    <xf numFmtId="166" fontId="0" fillId="0" borderId="9" xfId="0" applyNumberFormat="1" applyBorder="1"/>
    <xf numFmtId="0" fontId="0" fillId="4" borderId="2" xfId="0" applyFill="1" applyBorder="1"/>
    <xf numFmtId="165" fontId="0" fillId="0" borderId="2" xfId="0" applyNumberFormat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5" fillId="5" borderId="11" xfId="4"/>
    <xf numFmtId="11" fontId="5" fillId="5" borderId="11" xfId="4" applyNumberFormat="1"/>
    <xf numFmtId="0" fontId="6" fillId="0" borderId="0" xfId="0" applyFont="1" applyAlignment="1">
      <alignment horizontal="center"/>
    </xf>
    <xf numFmtId="0" fontId="1" fillId="2" borderId="13" xfId="1" applyBorder="1"/>
    <xf numFmtId="0" fontId="7" fillId="0" borderId="0" xfId="0" applyFont="1" applyAlignment="1">
      <alignment horizontal="left"/>
    </xf>
    <xf numFmtId="0" fontId="4" fillId="3" borderId="0" xfId="3" applyBorder="1"/>
    <xf numFmtId="0" fontId="8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7" borderId="0" xfId="0" applyFill="1"/>
    <xf numFmtId="0" fontId="0" fillId="0" borderId="0" xfId="0"/>
    <xf numFmtId="0" fontId="0" fillId="8" borderId="0" xfId="0" applyFill="1"/>
    <xf numFmtId="0" fontId="9" fillId="0" borderId="0" xfId="0" applyFont="1"/>
    <xf numFmtId="0" fontId="0" fillId="9" borderId="0" xfId="0" applyFill="1"/>
    <xf numFmtId="0" fontId="0" fillId="10" borderId="0" xfId="0" applyFill="1"/>
    <xf numFmtId="2" fontId="0" fillId="7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2" fillId="10" borderId="0" xfId="0" applyFont="1" applyFill="1"/>
    <xf numFmtId="0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4" fontId="1" fillId="11" borderId="1" xfId="1" applyNumberFormat="1" applyFill="1"/>
    <xf numFmtId="2" fontId="1" fillId="11" borderId="1" xfId="1" applyNumberFormat="1" applyFill="1"/>
    <xf numFmtId="0" fontId="1" fillId="9" borderId="1" xfId="1" applyFill="1"/>
    <xf numFmtId="9" fontId="0" fillId="9" borderId="0" xfId="0" applyNumberFormat="1" applyFill="1"/>
    <xf numFmtId="9" fontId="0" fillId="9" borderId="14" xfId="0" applyNumberFormat="1" applyFill="1" applyBorder="1"/>
    <xf numFmtId="0" fontId="0" fillId="12" borderId="15" xfId="0" applyFill="1" applyBorder="1"/>
    <xf numFmtId="0" fontId="0" fillId="12" borderId="16" xfId="0" applyFill="1" applyBorder="1"/>
    <xf numFmtId="0" fontId="0" fillId="9" borderId="16" xfId="0" applyFill="1" applyBorder="1"/>
    <xf numFmtId="0" fontId="0" fillId="6" borderId="17" xfId="0" applyFill="1" applyBorder="1"/>
    <xf numFmtId="0" fontId="0" fillId="12" borderId="17" xfId="0" applyFill="1" applyBorder="1"/>
    <xf numFmtId="0" fontId="0" fillId="6" borderId="18" xfId="0" applyFill="1" applyBorder="1"/>
    <xf numFmtId="0" fontId="0" fillId="6" borderId="14" xfId="0" applyFill="1" applyBorder="1"/>
    <xf numFmtId="0" fontId="0" fillId="9" borderId="14" xfId="0" applyFill="1" applyBorder="1"/>
    <xf numFmtId="0" fontId="0" fillId="12" borderId="19" xfId="0" applyFill="1" applyBorder="1"/>
    <xf numFmtId="0" fontId="0" fillId="9" borderId="0" xfId="0" applyFill="1" applyBorder="1"/>
    <xf numFmtId="0" fontId="0" fillId="9" borderId="20" xfId="0" applyFill="1" applyBorder="1"/>
    <xf numFmtId="0" fontId="0" fillId="6" borderId="0" xfId="0" applyFill="1" applyBorder="1"/>
    <xf numFmtId="0" fontId="0" fillId="6" borderId="20" xfId="0" applyFill="1" applyBorder="1"/>
    <xf numFmtId="0" fontId="0" fillId="12" borderId="18" xfId="0" applyFill="1" applyBorder="1"/>
    <xf numFmtId="0" fontId="0" fillId="6" borderId="21" xfId="0" applyFill="1" applyBorder="1"/>
    <xf numFmtId="0" fontId="0" fillId="9" borderId="21" xfId="0" applyFill="1" applyBorder="1"/>
    <xf numFmtId="0" fontId="0" fillId="0" borderId="0" xfId="0" applyBorder="1"/>
    <xf numFmtId="0" fontId="0" fillId="9" borderId="17" xfId="0" applyFill="1" applyBorder="1"/>
    <xf numFmtId="0" fontId="0" fillId="0" borderId="0" xfId="0" applyFill="1"/>
    <xf numFmtId="0" fontId="0" fillId="0" borderId="0" xfId="0" applyAlignment="1"/>
    <xf numFmtId="0" fontId="11" fillId="0" borderId="0" xfId="0" applyFont="1" applyAlignment="1">
      <alignment horizontal="center"/>
    </xf>
    <xf numFmtId="0" fontId="0" fillId="9" borderId="22" xfId="0" applyFill="1" applyBorder="1"/>
    <xf numFmtId="0" fontId="12" fillId="14" borderId="19" xfId="0" applyFont="1" applyFill="1" applyBorder="1"/>
    <xf numFmtId="0" fontId="12" fillId="14" borderId="0" xfId="0" applyFont="1" applyFill="1" applyBorder="1"/>
    <xf numFmtId="0" fontId="0" fillId="12" borderId="20" xfId="0" applyFill="1" applyBorder="1"/>
    <xf numFmtId="0" fontId="0" fillId="15" borderId="0" xfId="0" applyFill="1" applyAlignment="1">
      <alignment horizontal="center"/>
    </xf>
    <xf numFmtId="0" fontId="8" fillId="15" borderId="0" xfId="0" applyFont="1" applyFill="1" applyAlignment="1">
      <alignment horizontal="center"/>
    </xf>
    <xf numFmtId="0" fontId="13" fillId="0" borderId="0" xfId="0" applyFont="1"/>
    <xf numFmtId="0" fontId="6" fillId="0" borderId="0" xfId="0" applyFont="1"/>
    <xf numFmtId="0" fontId="8" fillId="0" borderId="0" xfId="0" applyFont="1"/>
    <xf numFmtId="0" fontId="2" fillId="0" borderId="12" xfId="0" applyFont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4" borderId="0" xfId="0" applyFill="1" applyBorder="1"/>
    <xf numFmtId="166" fontId="0" fillId="0" borderId="0" xfId="0" applyNumberFormat="1" applyBorder="1"/>
    <xf numFmtId="9" fontId="0" fillId="0" borderId="2" xfId="2" applyFont="1" applyBorder="1"/>
    <xf numFmtId="0" fontId="2" fillId="0" borderId="0" xfId="0" applyFont="1" applyBorder="1" applyAlignment="1">
      <alignment horizontal="center"/>
    </xf>
  </cellXfs>
  <cellStyles count="5">
    <cellStyle name="Check Cell" xfId="4" builtinId="23"/>
    <cellStyle name="Good" xfId="3" builtinId="26"/>
    <cellStyle name="Input" xfId="1" builtinId="20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 vs AirSpeed</a:t>
            </a:r>
          </a:p>
        </c:rich>
      </c:tx>
      <c:layout>
        <c:manualLayout>
          <c:xMode val="edge"/>
          <c:yMode val="edge"/>
          <c:x val="0.29296814843389535"/>
          <c:y val="3.207331042382588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845406824146981"/>
                  <c:y val="-0.388667614464858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'Performance Data'!$B$6:$B$14</c:f>
              <c:numCache>
                <c:formatCode>General</c:formatCode>
                <c:ptCount val="9"/>
                <c:pt idx="0">
                  <c:v>8.4885999999999999</c:v>
                </c:pt>
                <c:pt idx="1">
                  <c:v>17.124500000000001</c:v>
                </c:pt>
                <c:pt idx="2">
                  <c:v>25.608000000000001</c:v>
                </c:pt>
                <c:pt idx="3">
                  <c:v>35.012900000000002</c:v>
                </c:pt>
                <c:pt idx="4">
                  <c:v>39.633200000000002</c:v>
                </c:pt>
                <c:pt idx="5">
                  <c:v>44.359299999999998</c:v>
                </c:pt>
                <c:pt idx="6">
                  <c:v>49.3264</c:v>
                </c:pt>
                <c:pt idx="7">
                  <c:v>54.162799999999997</c:v>
                </c:pt>
                <c:pt idx="8">
                  <c:v>59.412700000000001</c:v>
                </c:pt>
              </c:numCache>
            </c:numRef>
          </c:xVal>
          <c:yVal>
            <c:numRef>
              <c:f>'Performance Data'!$C$6:$C$14</c:f>
              <c:numCache>
                <c:formatCode>General</c:formatCode>
                <c:ptCount val="9"/>
                <c:pt idx="0">
                  <c:v>1.2971999999999999</c:v>
                </c:pt>
                <c:pt idx="1">
                  <c:v>1.2618</c:v>
                </c:pt>
                <c:pt idx="2">
                  <c:v>1.1561999999999999</c:v>
                </c:pt>
                <c:pt idx="3">
                  <c:v>0.9909</c:v>
                </c:pt>
                <c:pt idx="4">
                  <c:v>0.9647</c:v>
                </c:pt>
                <c:pt idx="5">
                  <c:v>0.87090000000000001</c:v>
                </c:pt>
                <c:pt idx="6">
                  <c:v>0.79720000000000002</c:v>
                </c:pt>
                <c:pt idx="7">
                  <c:v>0.70399999999999996</c:v>
                </c:pt>
                <c:pt idx="8">
                  <c:v>0.61890000000000001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DF-440D-A4B4-4E6EC8B7D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50848"/>
        <c:axId val="45952384"/>
      </c:scatterChart>
      <c:valAx>
        <c:axId val="4595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2384"/>
        <c:crosses val="autoZero"/>
        <c:crossBetween val="midCat"/>
      </c:valAx>
      <c:valAx>
        <c:axId val="4595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'CD0 calculator'!$A$23:$A$29</c:f>
              <c:strCache>
                <c:ptCount val="7"/>
                <c:pt idx="0">
                  <c:v>WING</c:v>
                </c:pt>
                <c:pt idx="1">
                  <c:v>FUSE</c:v>
                </c:pt>
                <c:pt idx="2">
                  <c:v>HT</c:v>
                </c:pt>
                <c:pt idx="3">
                  <c:v>VT</c:v>
                </c:pt>
                <c:pt idx="4">
                  <c:v>FUSE BASE</c:v>
                </c:pt>
                <c:pt idx="5">
                  <c:v>LANDING GEAR</c:v>
                </c:pt>
                <c:pt idx="6">
                  <c:v>5% crud?</c:v>
                </c:pt>
              </c:strCache>
            </c:strRef>
          </c:cat>
          <c:val>
            <c:numRef>
              <c:f>'CD0 calculator'!$F$23:$F$29</c:f>
              <c:numCache>
                <c:formatCode>0.0000</c:formatCode>
                <c:ptCount val="7"/>
                <c:pt idx="0">
                  <c:v>1.4484697902936992E-2</c:v>
                </c:pt>
                <c:pt idx="1">
                  <c:v>1.2508473451754145E-2</c:v>
                </c:pt>
                <c:pt idx="2">
                  <c:v>2.1340915348512014E-3</c:v>
                </c:pt>
                <c:pt idx="3">
                  <c:v>6.7392364258459002E-4</c:v>
                </c:pt>
                <c:pt idx="4">
                  <c:v>1.5253333333333334E-3</c:v>
                </c:pt>
                <c:pt idx="5">
                  <c:v>1.5625E-2</c:v>
                </c:pt>
                <c:pt idx="6">
                  <c:v>1.5663259932730132E-3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62-4297-8AA0-8D93EFB8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29</xdr:row>
      <xdr:rowOff>171450</xdr:rowOff>
    </xdr:from>
    <xdr:to>
      <xdr:col>12</xdr:col>
      <xdr:colOff>285750</xdr:colOff>
      <xdr:row>45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2</xdr:row>
      <xdr:rowOff>66675</xdr:rowOff>
    </xdr:from>
    <xdr:to>
      <xdr:col>8</xdr:col>
      <xdr:colOff>590550</xdr:colOff>
      <xdr:row>4</xdr:row>
      <xdr:rowOff>0</xdr:rowOff>
    </xdr:to>
    <xdr:sp macro="[0]!process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5543550" y="581025"/>
          <a:ext cx="16002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Process Trade</a:t>
          </a:r>
          <a:r>
            <a:rPr lang="en-US" sz="1100" baseline="0"/>
            <a:t>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19</xdr:row>
      <xdr:rowOff>119062</xdr:rowOff>
    </xdr:from>
    <xdr:to>
      <xdr:col>13</xdr:col>
      <xdr:colOff>361950</xdr:colOff>
      <xdr:row>34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34"/>
  <sheetViews>
    <sheetView tabSelected="1" topLeftCell="I13" zoomScaleNormal="100" workbookViewId="0">
      <selection activeCell="N28" sqref="N28"/>
    </sheetView>
  </sheetViews>
  <sheetFormatPr defaultRowHeight="15" x14ac:dyDescent="0.25"/>
  <cols>
    <col min="1" max="1" width="28" style="1" bestFit="1" customWidth="1"/>
    <col min="2" max="5" width="10.7109375" style="1" customWidth="1"/>
    <col min="12" max="12" width="20.5703125" customWidth="1"/>
    <col min="17" max="17" width="10.5703125" bestFit="1" customWidth="1"/>
    <col min="18" max="18" width="10.5703125" style="40" customWidth="1"/>
    <col min="21" max="21" width="9.140625" customWidth="1"/>
    <col min="23" max="23" width="9.5703125" bestFit="1" customWidth="1"/>
    <col min="24" max="24" width="10.42578125" customWidth="1"/>
    <col min="25" max="25" width="11" customWidth="1"/>
    <col min="26" max="26" width="10.5703125" bestFit="1" customWidth="1"/>
    <col min="27" max="27" width="11.5703125" bestFit="1" customWidth="1"/>
    <col min="29" max="31" width="9.140625" style="40"/>
    <col min="32" max="32" width="10.5703125" bestFit="1" customWidth="1"/>
    <col min="33" max="33" width="10.28515625" bestFit="1" customWidth="1"/>
    <col min="34" max="34" width="11.28515625" bestFit="1" customWidth="1"/>
  </cols>
  <sheetData>
    <row r="1" spans="1:34" s="34" customFormat="1" ht="26.25" x14ac:dyDescent="0.4">
      <c r="A1" s="34" t="s">
        <v>51</v>
      </c>
    </row>
    <row r="2" spans="1:34" x14ac:dyDescent="0.25">
      <c r="A2" s="78"/>
      <c r="B2" s="2" t="s">
        <v>205</v>
      </c>
    </row>
    <row r="4" spans="1:34" x14ac:dyDescent="0.25">
      <c r="B4" s="1" t="s">
        <v>159</v>
      </c>
    </row>
    <row r="5" spans="1:34" x14ac:dyDescent="0.25">
      <c r="A5" s="32" t="s">
        <v>47</v>
      </c>
      <c r="B5" s="32" t="s">
        <v>43</v>
      </c>
      <c r="C5" s="32" t="s">
        <v>44</v>
      </c>
      <c r="J5" t="s">
        <v>90</v>
      </c>
      <c r="L5" t="s">
        <v>91</v>
      </c>
    </row>
    <row r="6" spans="1:34" x14ac:dyDescent="0.25">
      <c r="A6" s="1" t="s">
        <v>221</v>
      </c>
      <c r="B6" s="40">
        <v>8.4885999999999999</v>
      </c>
      <c r="C6" s="40">
        <v>1.2971999999999999</v>
      </c>
      <c r="E6" s="2"/>
      <c r="F6" s="1"/>
      <c r="G6" t="s">
        <v>81</v>
      </c>
      <c r="J6" s="1">
        <v>20</v>
      </c>
      <c r="K6" t="s">
        <v>34</v>
      </c>
      <c r="L6" s="1">
        <v>20</v>
      </c>
    </row>
    <row r="7" spans="1:34" x14ac:dyDescent="0.25">
      <c r="B7" s="40">
        <v>17.124500000000001</v>
      </c>
      <c r="C7" s="40">
        <v>1.2618</v>
      </c>
      <c r="G7" t="s">
        <v>82</v>
      </c>
      <c r="J7" s="1">
        <v>45</v>
      </c>
      <c r="K7" t="s">
        <v>34</v>
      </c>
      <c r="L7" s="1">
        <v>35</v>
      </c>
      <c r="O7" s="89" t="s">
        <v>15</v>
      </c>
      <c r="P7" s="89"/>
      <c r="Q7" s="89"/>
      <c r="R7" s="99"/>
      <c r="Z7">
        <v>20</v>
      </c>
    </row>
    <row r="8" spans="1:34" x14ac:dyDescent="0.25">
      <c r="B8" s="40">
        <v>25.608000000000001</v>
      </c>
      <c r="C8" s="40">
        <v>1.1561999999999999</v>
      </c>
      <c r="G8" t="s">
        <v>83</v>
      </c>
      <c r="I8" s="1"/>
      <c r="J8" s="1">
        <v>13.060126600096915</v>
      </c>
      <c r="K8" t="s">
        <v>70</v>
      </c>
      <c r="L8" s="37"/>
      <c r="O8" s="3" t="s">
        <v>16</v>
      </c>
      <c r="P8" s="3">
        <f>(P12/(P12+3))*0.11*13</f>
        <v>0.95333333333333337</v>
      </c>
      <c r="Q8" s="3"/>
      <c r="R8" s="3"/>
      <c r="T8" s="4" t="s">
        <v>23</v>
      </c>
      <c r="U8" s="4"/>
      <c r="V8" s="4">
        <f>P10/P8/P13</f>
        <v>2.4335926573426567</v>
      </c>
      <c r="W8" s="4" t="s">
        <v>24</v>
      </c>
      <c r="Z8">
        <f>Z7/1.15</f>
        <v>17.39130434782609</v>
      </c>
    </row>
    <row r="9" spans="1:34" x14ac:dyDescent="0.25">
      <c r="B9" s="40">
        <v>35.012900000000002</v>
      </c>
      <c r="C9" s="40">
        <v>0.9909</v>
      </c>
      <c r="G9" s="40" t="s">
        <v>185</v>
      </c>
      <c r="H9" s="40"/>
      <c r="I9" s="1"/>
      <c r="J9" s="1">
        <v>21</v>
      </c>
      <c r="K9" s="40"/>
      <c r="L9" s="85">
        <f>L7-L6</f>
        <v>15</v>
      </c>
      <c r="O9" s="3" t="s">
        <v>14</v>
      </c>
      <c r="P9" s="56">
        <v>2</v>
      </c>
      <c r="Q9" s="3"/>
      <c r="R9" s="3"/>
      <c r="T9" s="4" t="s">
        <v>25</v>
      </c>
      <c r="U9" s="4"/>
      <c r="V9" s="4">
        <f>SQRT(V8/1481)</f>
        <v>4.053651547258913E-2</v>
      </c>
      <c r="W9" s="4"/>
    </row>
    <row r="10" spans="1:34" x14ac:dyDescent="0.25">
      <c r="B10" s="40">
        <v>39.633200000000002</v>
      </c>
      <c r="C10" s="40">
        <v>0.9647</v>
      </c>
      <c r="G10" s="40"/>
      <c r="H10" s="40"/>
      <c r="I10" s="1"/>
      <c r="J10" s="1">
        <v>45</v>
      </c>
      <c r="K10" s="40"/>
      <c r="L10" s="84"/>
      <c r="O10" s="3" t="s">
        <v>3</v>
      </c>
      <c r="P10" s="3">
        <v>11.600124999999998</v>
      </c>
      <c r="Q10" s="3" t="s">
        <v>9</v>
      </c>
      <c r="R10" s="3"/>
      <c r="T10" s="4" t="s">
        <v>33</v>
      </c>
      <c r="U10" s="4"/>
      <c r="V10" s="4">
        <f>V9*661</f>
        <v>26.794636727381416</v>
      </c>
      <c r="W10" s="4" t="s">
        <v>34</v>
      </c>
    </row>
    <row r="11" spans="1:34" x14ac:dyDescent="0.25">
      <c r="B11" s="40">
        <v>44.359299999999998</v>
      </c>
      <c r="C11" s="40">
        <v>0.87090000000000001</v>
      </c>
      <c r="G11" t="s">
        <v>84</v>
      </c>
      <c r="I11" s="1"/>
      <c r="J11" s="1">
        <v>25</v>
      </c>
      <c r="K11" t="s">
        <v>34</v>
      </c>
      <c r="L11" s="1">
        <v>25</v>
      </c>
      <c r="O11" s="3" t="s">
        <v>2</v>
      </c>
      <c r="P11" s="54">
        <f>'CD0 calculator'!F30</f>
        <v>4.8517845858733276E-2</v>
      </c>
      <c r="Q11" s="3"/>
      <c r="R11" s="3"/>
      <c r="T11" s="3" t="s">
        <v>29</v>
      </c>
      <c r="U11" s="3"/>
      <c r="V11" s="3">
        <v>0</v>
      </c>
    </row>
    <row r="12" spans="1:34" x14ac:dyDescent="0.25">
      <c r="B12" s="40">
        <v>49.3264</v>
      </c>
      <c r="C12" s="40">
        <v>0.79720000000000002</v>
      </c>
      <c r="G12" t="s">
        <v>85</v>
      </c>
      <c r="I12" s="1"/>
      <c r="J12" s="1">
        <v>44</v>
      </c>
      <c r="K12" t="s">
        <v>34</v>
      </c>
      <c r="L12" s="1">
        <v>35</v>
      </c>
      <c r="O12" s="3" t="s">
        <v>12</v>
      </c>
      <c r="P12" s="55">
        <v>6</v>
      </c>
      <c r="Q12" s="3"/>
      <c r="R12" s="3"/>
      <c r="T12" s="3" t="s">
        <v>38</v>
      </c>
      <c r="U12" s="3"/>
      <c r="V12" s="3">
        <v>0.05</v>
      </c>
    </row>
    <row r="13" spans="1:34" x14ac:dyDescent="0.25">
      <c r="B13" s="40">
        <v>54.162799999999997</v>
      </c>
      <c r="C13" s="40">
        <v>0.70399999999999996</v>
      </c>
      <c r="G13" t="s">
        <v>86</v>
      </c>
      <c r="I13" s="1"/>
      <c r="J13" s="1">
        <v>67.939817299728361</v>
      </c>
      <c r="K13" t="s">
        <v>70</v>
      </c>
      <c r="L13" s="38"/>
      <c r="O13" s="3" t="s">
        <v>7</v>
      </c>
      <c r="P13" s="55">
        <v>5</v>
      </c>
      <c r="Q13" s="3" t="s">
        <v>8</v>
      </c>
      <c r="R13" s="3"/>
      <c r="T13" s="35" t="s">
        <v>69</v>
      </c>
      <c r="V13">
        <f>SQRT(P13*P12)</f>
        <v>5.4772255750516612</v>
      </c>
      <c r="W13" t="s">
        <v>70</v>
      </c>
      <c r="Y13" t="s">
        <v>71</v>
      </c>
    </row>
    <row r="14" spans="1:34" x14ac:dyDescent="0.25">
      <c r="B14" s="40">
        <v>59.412700000000001</v>
      </c>
      <c r="C14" s="40">
        <v>0.61890000000000001</v>
      </c>
      <c r="G14" s="40" t="s">
        <v>185</v>
      </c>
      <c r="H14" s="40"/>
      <c r="I14" s="1"/>
      <c r="J14" s="1">
        <v>37.710645436067395</v>
      </c>
      <c r="K14" s="40"/>
      <c r="L14" s="85">
        <f>L12-L11</f>
        <v>10</v>
      </c>
      <c r="O14" s="33" t="s">
        <v>48</v>
      </c>
      <c r="P14" s="56">
        <v>20</v>
      </c>
      <c r="Q14" s="3" t="s">
        <v>49</v>
      </c>
      <c r="R14" s="3"/>
    </row>
    <row r="15" spans="1:34" ht="75" x14ac:dyDescent="0.25">
      <c r="B15" s="40">
        <v>64.304599999999994</v>
      </c>
      <c r="C15" s="40">
        <v>8.2000000000000007E-3</v>
      </c>
      <c r="G15" s="40"/>
      <c r="H15" s="40"/>
      <c r="I15" s="1"/>
      <c r="J15" s="1"/>
      <c r="K15" s="40"/>
      <c r="L15" s="85"/>
      <c r="O15" s="5" t="s">
        <v>1</v>
      </c>
      <c r="P15" s="5" t="s">
        <v>4</v>
      </c>
      <c r="Q15" s="5" t="s">
        <v>5</v>
      </c>
      <c r="R15" s="5" t="s">
        <v>227</v>
      </c>
      <c r="S15" s="5" t="s">
        <v>6</v>
      </c>
      <c r="T15" s="5" t="s">
        <v>10</v>
      </c>
      <c r="U15" s="5" t="s">
        <v>11</v>
      </c>
      <c r="V15" s="5" t="s">
        <v>32</v>
      </c>
      <c r="W15" s="5" t="s">
        <v>134</v>
      </c>
      <c r="X15" s="5" t="s">
        <v>17</v>
      </c>
      <c r="Y15" s="5" t="s">
        <v>18</v>
      </c>
      <c r="Z15" s="5" t="s">
        <v>19</v>
      </c>
      <c r="AA15" s="5" t="s">
        <v>31</v>
      </c>
      <c r="AB15" s="5" t="s">
        <v>35</v>
      </c>
      <c r="AC15" s="5" t="s">
        <v>225</v>
      </c>
      <c r="AD15" s="5" t="s">
        <v>226</v>
      </c>
      <c r="AE15" s="5" t="s">
        <v>224</v>
      </c>
      <c r="AF15" s="5" t="s">
        <v>37</v>
      </c>
      <c r="AG15" s="5" t="s">
        <v>135</v>
      </c>
      <c r="AH15" s="5" t="s">
        <v>36</v>
      </c>
    </row>
    <row r="16" spans="1:34" x14ac:dyDescent="0.25">
      <c r="B16" s="40">
        <v>67.065100000000001</v>
      </c>
      <c r="C16" s="40">
        <v>-7.6899999999999996E-2</v>
      </c>
      <c r="G16" t="s">
        <v>88</v>
      </c>
      <c r="I16" s="1"/>
      <c r="J16" s="1">
        <v>27</v>
      </c>
      <c r="K16" t="s">
        <v>34</v>
      </c>
      <c r="L16" s="1">
        <v>27</v>
      </c>
      <c r="O16" s="6">
        <v>10</v>
      </c>
      <c r="P16" s="7">
        <f>O16/661</f>
        <v>1.5128593040847202E-2</v>
      </c>
      <c r="Q16" s="8">
        <f>1481*P16^2</f>
        <v>0.33896287887283971</v>
      </c>
      <c r="R16" s="8"/>
      <c r="S16" s="9" t="str">
        <f>IF(X16&lt;1,"",$P$10/Q16/$P$13)</f>
        <v/>
      </c>
      <c r="T16" s="9" t="str">
        <f>IF(X16&lt;1,"",S16^2/(PI()*$P$12)+$P$11)</f>
        <v/>
      </c>
      <c r="U16" s="8" t="str">
        <f>IF(T16="","",Q16*T16*$P$13)</f>
        <v/>
      </c>
      <c r="V16" s="8">
        <f t="shared" ref="V16:V47" si="0">$P$9*($G$34*O16^2+$G$35*O16+$G$36)</f>
        <v>2.6073999999999997</v>
      </c>
      <c r="W16" s="6" t="str">
        <f>IF(T16="","",(V16-U16)/$P$10)</f>
        <v/>
      </c>
      <c r="X16" s="10">
        <f>P16/$V$9</f>
        <v>0.37320901573489179</v>
      </c>
      <c r="Y16" s="8" t="str">
        <f>IF(X16&lt;1,"",S16/T16)</f>
        <v/>
      </c>
      <c r="Z16" s="9" t="str">
        <f>IF(X16&lt;1,"",Y16*P16)</f>
        <v/>
      </c>
      <c r="AA16" s="11">
        <f>O16-$V$10</f>
        <v>-16.794636727381416</v>
      </c>
      <c r="AB16" s="6" t="str">
        <f>IF(X16&lt;1,"",W16*O16/60*6080)</f>
        <v/>
      </c>
      <c r="AC16" s="6"/>
      <c r="AD16" s="6"/>
      <c r="AE16" s="6"/>
      <c r="AF16" s="8" t="str">
        <f t="shared" ref="AF16:AF68" si="1">IF(X16&lt;1,"",X16^2)</f>
        <v/>
      </c>
      <c r="AG16" s="9" t="str">
        <f t="shared" ref="AG16:AG68" si="2">IF(X16&lt;1,"",(V16-(Q16*$P$13*($P$11+$P$8^2/(PI()*$P$12))))/$P$10)</f>
        <v/>
      </c>
      <c r="AH16" s="11" t="str">
        <f t="shared" ref="AH16:AH68" si="3">IF(X16&lt;1,"",AG16*O16*6080/60)</f>
        <v/>
      </c>
    </row>
    <row r="17" spans="1:34" x14ac:dyDescent="0.25">
      <c r="G17" t="s">
        <v>89</v>
      </c>
      <c r="I17" s="1"/>
      <c r="J17" s="1">
        <v>44</v>
      </c>
      <c r="K17" t="s">
        <v>34</v>
      </c>
      <c r="L17" s="1">
        <v>35</v>
      </c>
      <c r="O17" s="6">
        <v>20</v>
      </c>
      <c r="P17" s="7">
        <f>O17/661</f>
        <v>3.0257186081694403E-2</v>
      </c>
      <c r="Q17" s="8">
        <f>1481*P17^2</f>
        <v>1.3558515154913588</v>
      </c>
      <c r="R17" s="8"/>
      <c r="S17" s="9" t="str">
        <f t="shared" ref="S17:S68" si="4">IF(X17&lt;1,"",$P$10/Q17/$P$13)</f>
        <v/>
      </c>
      <c r="T17" s="9" t="str">
        <f t="shared" ref="T17:T68" si="5">IF(X17&lt;1,"",S17^2/(PI()*$P$12)+$P$11)</f>
        <v/>
      </c>
      <c r="U17" s="8" t="str">
        <f t="shared" ref="U17:U68" si="6">IF(T17="","",Q17*T17*$P$13)</f>
        <v/>
      </c>
      <c r="V17" s="8">
        <f t="shared" si="0"/>
        <v>2.4234</v>
      </c>
      <c r="W17" s="8" t="str">
        <f t="shared" ref="W17:W68" si="7">IF(T17="","",(V17-U17)/$P$10)</f>
        <v/>
      </c>
      <c r="X17" s="10">
        <f t="shared" ref="X17:X68" si="8">P17/$V$9</f>
        <v>0.74641803146978358</v>
      </c>
      <c r="Y17" s="8" t="str">
        <f t="shared" ref="Y17:Y68" si="9">IF(X17&lt;1,"",S17/T17)</f>
        <v/>
      </c>
      <c r="Z17" s="9" t="str">
        <f t="shared" ref="Z17:Z68" si="10">IF(X17&lt;1,"",Y17*P17)</f>
        <v/>
      </c>
      <c r="AA17" s="11">
        <f t="shared" ref="AA17:AA68" si="11">O17-$V$10</f>
        <v>-6.7946367273814161</v>
      </c>
      <c r="AB17" s="6" t="str">
        <f t="shared" ref="AB17:AB68" si="12">IF(X17&lt;1,"",W17*O17/60*6080)</f>
        <v/>
      </c>
      <c r="AC17" s="6"/>
      <c r="AD17" s="6"/>
      <c r="AE17" s="6"/>
      <c r="AF17" s="8" t="str">
        <f t="shared" si="1"/>
        <v/>
      </c>
      <c r="AG17" s="9" t="str">
        <f t="shared" si="2"/>
        <v/>
      </c>
      <c r="AH17" s="11" t="str">
        <f t="shared" si="3"/>
        <v/>
      </c>
    </row>
    <row r="18" spans="1:34" x14ac:dyDescent="0.25">
      <c r="A18" s="1" t="s">
        <v>206</v>
      </c>
      <c r="B18" s="1">
        <v>1500</v>
      </c>
      <c r="C18" s="1" t="s">
        <v>207</v>
      </c>
      <c r="G18" t="s">
        <v>87</v>
      </c>
      <c r="I18" s="1"/>
      <c r="J18" s="1">
        <v>142.41891410600249</v>
      </c>
      <c r="K18" t="s">
        <v>70</v>
      </c>
      <c r="L18" s="38"/>
      <c r="O18" s="6">
        <f>O17+1</f>
        <v>21</v>
      </c>
      <c r="P18" s="7">
        <f t="shared" ref="P18:P68" si="13">O18/661</f>
        <v>3.1770045385779121E-2</v>
      </c>
      <c r="Q18" s="8">
        <f t="shared" ref="Q18:Q68" si="14">1481*P18^2</f>
        <v>1.4948262958292231</v>
      </c>
      <c r="R18" s="8"/>
      <c r="S18" s="9" t="str">
        <f t="shared" si="4"/>
        <v/>
      </c>
      <c r="T18" s="9" t="str">
        <f t="shared" si="5"/>
        <v/>
      </c>
      <c r="U18" s="8" t="str">
        <f t="shared" si="6"/>
        <v/>
      </c>
      <c r="V18" s="8">
        <f t="shared" si="0"/>
        <v>2.4028</v>
      </c>
      <c r="W18" s="8" t="str">
        <f t="shared" si="7"/>
        <v/>
      </c>
      <c r="X18" s="10">
        <f t="shared" si="8"/>
        <v>0.78373893304327269</v>
      </c>
      <c r="Y18" s="8" t="str">
        <f t="shared" si="9"/>
        <v/>
      </c>
      <c r="Z18" s="9" t="str">
        <f t="shared" si="10"/>
        <v/>
      </c>
      <c r="AA18" s="11">
        <f t="shared" si="11"/>
        <v>-5.7946367273814161</v>
      </c>
      <c r="AB18" s="6" t="str">
        <f t="shared" si="12"/>
        <v/>
      </c>
      <c r="AC18" s="6"/>
      <c r="AD18" s="6"/>
      <c r="AE18" s="6"/>
      <c r="AF18" s="8" t="str">
        <f t="shared" si="1"/>
        <v/>
      </c>
      <c r="AG18" s="9" t="str">
        <f t="shared" si="2"/>
        <v/>
      </c>
      <c r="AH18" s="11" t="str">
        <f t="shared" si="3"/>
        <v/>
      </c>
    </row>
    <row r="19" spans="1:34" x14ac:dyDescent="0.25">
      <c r="A19" s="1" t="s">
        <v>208</v>
      </c>
      <c r="B19" s="52">
        <v>4</v>
      </c>
      <c r="G19" t="s">
        <v>185</v>
      </c>
      <c r="I19" s="1"/>
      <c r="J19" s="1"/>
      <c r="L19" s="36">
        <f>L17-L16</f>
        <v>8</v>
      </c>
      <c r="O19" s="6">
        <f t="shared" ref="O19:O68" si="15">O18+1</f>
        <v>22</v>
      </c>
      <c r="P19" s="7">
        <f t="shared" si="13"/>
        <v>3.3282904689863842E-2</v>
      </c>
      <c r="Q19" s="8">
        <f t="shared" si="14"/>
        <v>1.6405803337445439</v>
      </c>
      <c r="R19" s="8"/>
      <c r="S19" s="9" t="str">
        <f t="shared" si="4"/>
        <v/>
      </c>
      <c r="T19" s="9" t="str">
        <f t="shared" si="5"/>
        <v/>
      </c>
      <c r="U19" s="8" t="str">
        <f t="shared" si="6"/>
        <v/>
      </c>
      <c r="V19" s="8">
        <f t="shared" si="0"/>
        <v>2.3817999999999997</v>
      </c>
      <c r="W19" s="8" t="str">
        <f t="shared" si="7"/>
        <v/>
      </c>
      <c r="X19" s="10">
        <f t="shared" si="8"/>
        <v>0.82105983461676191</v>
      </c>
      <c r="Y19" s="8" t="str">
        <f t="shared" si="9"/>
        <v/>
      </c>
      <c r="Z19" s="9" t="str">
        <f t="shared" si="10"/>
        <v/>
      </c>
      <c r="AA19" s="11">
        <f t="shared" si="11"/>
        <v>-4.7946367273814161</v>
      </c>
      <c r="AB19" s="6" t="str">
        <f t="shared" si="12"/>
        <v/>
      </c>
      <c r="AC19" s="6"/>
      <c r="AD19" s="6"/>
      <c r="AE19" s="6"/>
      <c r="AF19" s="8" t="str">
        <f t="shared" si="1"/>
        <v/>
      </c>
      <c r="AG19" s="9" t="str">
        <f t="shared" si="2"/>
        <v/>
      </c>
      <c r="AH19" s="11" t="str">
        <f t="shared" si="3"/>
        <v/>
      </c>
    </row>
    <row r="20" spans="1:34" x14ac:dyDescent="0.25">
      <c r="A20" s="1" t="s">
        <v>209</v>
      </c>
      <c r="B20" s="1">
        <v>5</v>
      </c>
      <c r="G20" s="40"/>
      <c r="H20" s="40"/>
      <c r="I20" s="1"/>
      <c r="J20" s="1"/>
      <c r="K20" s="40"/>
      <c r="L20" s="40"/>
      <c r="O20" s="6">
        <f t="shared" si="15"/>
        <v>23</v>
      </c>
      <c r="P20" s="7">
        <f t="shared" si="13"/>
        <v>3.4795763993948563E-2</v>
      </c>
      <c r="Q20" s="8">
        <f t="shared" si="14"/>
        <v>1.7931136292373222</v>
      </c>
      <c r="R20" s="8"/>
      <c r="S20" s="9" t="str">
        <f t="shared" si="4"/>
        <v/>
      </c>
      <c r="T20" s="9" t="str">
        <f t="shared" si="5"/>
        <v/>
      </c>
      <c r="U20" s="8" t="str">
        <f t="shared" si="6"/>
        <v/>
      </c>
      <c r="V20" s="8">
        <f t="shared" si="0"/>
        <v>2.3603999999999998</v>
      </c>
      <c r="W20" s="8" t="str">
        <f t="shared" si="7"/>
        <v/>
      </c>
      <c r="X20" s="10">
        <f t="shared" si="8"/>
        <v>0.85838073619025113</v>
      </c>
      <c r="Y20" s="8" t="str">
        <f t="shared" si="9"/>
        <v/>
      </c>
      <c r="Z20" s="9" t="str">
        <f t="shared" si="10"/>
        <v/>
      </c>
      <c r="AA20" s="11">
        <f t="shared" si="11"/>
        <v>-3.7946367273814161</v>
      </c>
      <c r="AB20" s="6" t="str">
        <f t="shared" si="12"/>
        <v/>
      </c>
      <c r="AC20" s="6"/>
      <c r="AD20" s="6"/>
      <c r="AE20" s="6"/>
      <c r="AF20" s="8" t="str">
        <f t="shared" si="1"/>
        <v/>
      </c>
      <c r="AG20" s="9" t="str">
        <f t="shared" si="2"/>
        <v/>
      </c>
      <c r="AH20" s="11" t="str">
        <f t="shared" si="3"/>
        <v/>
      </c>
    </row>
    <row r="21" spans="1:34" x14ac:dyDescent="0.25">
      <c r="A21" s="1" t="s">
        <v>42</v>
      </c>
      <c r="B21" s="1">
        <f>0.68*NUMCELLS</f>
        <v>2.72</v>
      </c>
      <c r="C21" s="1" t="s">
        <v>50</v>
      </c>
      <c r="G21" s="40"/>
      <c r="H21" s="40"/>
      <c r="I21" s="1"/>
      <c r="J21" s="1"/>
      <c r="K21" s="40"/>
      <c r="L21" s="40"/>
      <c r="O21" s="6">
        <f t="shared" si="15"/>
        <v>24</v>
      </c>
      <c r="P21" s="7">
        <f t="shared" si="13"/>
        <v>3.6308623298033284E-2</v>
      </c>
      <c r="Q21" s="8">
        <f t="shared" si="14"/>
        <v>1.9524261823075566</v>
      </c>
      <c r="R21" s="8"/>
      <c r="S21" s="9" t="str">
        <f t="shared" si="4"/>
        <v/>
      </c>
      <c r="T21" s="9" t="str">
        <f t="shared" si="5"/>
        <v/>
      </c>
      <c r="U21" s="8" t="str">
        <f t="shared" si="6"/>
        <v/>
      </c>
      <c r="V21" s="8">
        <f t="shared" si="0"/>
        <v>2.3386</v>
      </c>
      <c r="W21" s="8" t="str">
        <f t="shared" si="7"/>
        <v/>
      </c>
      <c r="X21" s="10">
        <f t="shared" si="8"/>
        <v>0.89570163776374034</v>
      </c>
      <c r="Y21" s="8" t="str">
        <f t="shared" si="9"/>
        <v/>
      </c>
      <c r="Z21" s="9" t="str">
        <f t="shared" si="10"/>
        <v/>
      </c>
      <c r="AA21" s="11">
        <f t="shared" si="11"/>
        <v>-2.7946367273814161</v>
      </c>
      <c r="AB21" s="11" t="str">
        <f t="shared" si="12"/>
        <v/>
      </c>
      <c r="AC21" s="11"/>
      <c r="AD21" s="11"/>
      <c r="AE21" s="11"/>
      <c r="AF21" s="8" t="str">
        <f t="shared" si="1"/>
        <v/>
      </c>
      <c r="AG21" s="9" t="str">
        <f t="shared" si="2"/>
        <v/>
      </c>
      <c r="AH21" s="11" t="str">
        <f t="shared" si="3"/>
        <v/>
      </c>
    </row>
    <row r="22" spans="1:34" x14ac:dyDescent="0.25">
      <c r="A22" s="1" t="s">
        <v>210</v>
      </c>
      <c r="B22" s="1">
        <f>B20*NUMCELLS/2</f>
        <v>10</v>
      </c>
      <c r="C22" s="1" t="s">
        <v>211</v>
      </c>
      <c r="G22" t="s">
        <v>133</v>
      </c>
      <c r="I22" s="1"/>
      <c r="J22" s="1"/>
      <c r="L22">
        <f>IF(B24&lt;B23,IF(MISSION1_WARNING="",IF(MISSION2_WARNING="",IF(MISSION3_WARNING="",1,0.1),0.1),0.1),0.1)*IF(M1_TURN_MARGIN&gt;10,1,M1_TURN_MARGIN/10)*IF(m2_turn_margin&gt;10,1,m2_turn_margin/10)*IF(m3_turn_margin&gt;10,1,m3_turn_margin/10)</f>
        <v>8.0000000000000016E-2</v>
      </c>
      <c r="O22" s="6">
        <f t="shared" si="15"/>
        <v>25</v>
      </c>
      <c r="P22" s="7">
        <f t="shared" si="13"/>
        <v>3.7821482602118005E-2</v>
      </c>
      <c r="Q22" s="8">
        <f t="shared" si="14"/>
        <v>2.1185179929552485</v>
      </c>
      <c r="R22" s="8"/>
      <c r="S22" s="9" t="str">
        <f t="shared" si="4"/>
        <v/>
      </c>
      <c r="T22" s="9" t="str">
        <f t="shared" si="5"/>
        <v/>
      </c>
      <c r="U22" s="8" t="str">
        <f t="shared" si="6"/>
        <v/>
      </c>
      <c r="V22" s="8">
        <f t="shared" si="0"/>
        <v>2.3163999999999998</v>
      </c>
      <c r="W22" s="8" t="str">
        <f t="shared" si="7"/>
        <v/>
      </c>
      <c r="X22" s="10">
        <f t="shared" si="8"/>
        <v>0.93302253933722956</v>
      </c>
      <c r="Y22" s="8" t="str">
        <f t="shared" si="9"/>
        <v/>
      </c>
      <c r="Z22" s="9" t="str">
        <f t="shared" si="10"/>
        <v/>
      </c>
      <c r="AA22" s="11">
        <f t="shared" si="11"/>
        <v>-1.7946367273814161</v>
      </c>
      <c r="AB22" s="11" t="str">
        <f t="shared" si="12"/>
        <v/>
      </c>
      <c r="AC22" s="11"/>
      <c r="AD22" s="11"/>
      <c r="AE22" s="11"/>
      <c r="AF22" s="8" t="str">
        <f t="shared" si="1"/>
        <v/>
      </c>
      <c r="AG22" s="9" t="str">
        <f t="shared" si="2"/>
        <v/>
      </c>
      <c r="AH22" s="11" t="str">
        <f t="shared" si="3"/>
        <v/>
      </c>
    </row>
    <row r="23" spans="1:34" x14ac:dyDescent="0.25">
      <c r="G23" t="s">
        <v>132</v>
      </c>
      <c r="I23" s="1"/>
      <c r="J23" s="36">
        <f ca="1">NENG+HEADWIND+RAND()</f>
        <v>22.783091383519732</v>
      </c>
      <c r="O23" s="6">
        <f t="shared" si="15"/>
        <v>26</v>
      </c>
      <c r="P23" s="7">
        <f t="shared" si="13"/>
        <v>3.9334341906202726E-2</v>
      </c>
      <c r="Q23" s="8">
        <f t="shared" si="14"/>
        <v>2.2913890611803964</v>
      </c>
      <c r="R23" s="8"/>
      <c r="S23" s="9" t="str">
        <f t="shared" si="4"/>
        <v/>
      </c>
      <c r="T23" s="9" t="str">
        <f t="shared" si="5"/>
        <v/>
      </c>
      <c r="U23" s="8" t="str">
        <f t="shared" si="6"/>
        <v/>
      </c>
      <c r="V23" s="8">
        <f t="shared" si="0"/>
        <v>2.2938000000000001</v>
      </c>
      <c r="W23" s="8" t="str">
        <f t="shared" si="7"/>
        <v/>
      </c>
      <c r="X23" s="10">
        <f t="shared" si="8"/>
        <v>0.97034344091071878</v>
      </c>
      <c r="Y23" s="8" t="str">
        <f t="shared" si="9"/>
        <v/>
      </c>
      <c r="Z23" s="9" t="str">
        <f t="shared" si="10"/>
        <v/>
      </c>
      <c r="AA23" s="11">
        <f t="shared" si="11"/>
        <v>-0.79463672738141611</v>
      </c>
      <c r="AB23" s="11" t="str">
        <f t="shared" si="12"/>
        <v/>
      </c>
      <c r="AC23" s="11"/>
      <c r="AD23" s="11"/>
      <c r="AE23" s="11"/>
      <c r="AF23" s="8" t="str">
        <f t="shared" si="1"/>
        <v/>
      </c>
      <c r="AG23" s="9" t="str">
        <f t="shared" si="2"/>
        <v/>
      </c>
      <c r="AH23" s="11" t="str">
        <f t="shared" si="3"/>
        <v/>
      </c>
    </row>
    <row r="24" spans="1:34" x14ac:dyDescent="0.25">
      <c r="I24" s="1"/>
      <c r="J24" s="1"/>
      <c r="O24" s="6">
        <f t="shared" si="15"/>
        <v>27</v>
      </c>
      <c r="P24" s="7">
        <f t="shared" si="13"/>
        <v>4.084720121028744E-2</v>
      </c>
      <c r="Q24" s="8">
        <f t="shared" si="14"/>
        <v>2.471039386983001</v>
      </c>
      <c r="R24" s="8">
        <f>S24/(0.109*(AR_e/(AR_e+3)))</f>
        <v>12.920453518252254</v>
      </c>
      <c r="S24" s="9">
        <f t="shared" si="4"/>
        <v>0.93888628899299698</v>
      </c>
      <c r="T24" s="9">
        <f t="shared" si="5"/>
        <v>9.5283269263311848E-2</v>
      </c>
      <c r="U24" s="8">
        <f t="shared" si="6"/>
        <v>1.1772435563507515</v>
      </c>
      <c r="V24" s="8">
        <f t="shared" si="0"/>
        <v>2.2707999999999999</v>
      </c>
      <c r="W24" s="8">
        <f t="shared" si="7"/>
        <v>9.427109135886455E-2</v>
      </c>
      <c r="X24" s="10">
        <f t="shared" si="8"/>
        <v>1.0076643424842078</v>
      </c>
      <c r="Y24" s="8">
        <f t="shared" si="9"/>
        <v>9.8536321880226296</v>
      </c>
      <c r="Z24" s="9">
        <f t="shared" si="10"/>
        <v>0.40249329663632522</v>
      </c>
      <c r="AA24" s="11">
        <f t="shared" si="11"/>
        <v>0.20536327261858389</v>
      </c>
      <c r="AB24" s="11">
        <f t="shared" si="12"/>
        <v>257.92570595785338</v>
      </c>
      <c r="AC24" s="11">
        <f>DEGREES(ATAN(AE24))</f>
        <v>5.3854198196870424</v>
      </c>
      <c r="AD24" s="11">
        <f>AC24+R24</f>
        <v>18.305873337939296</v>
      </c>
      <c r="AE24" s="98">
        <f>W24</f>
        <v>9.427109135886455E-2</v>
      </c>
      <c r="AF24" s="8">
        <f t="shared" si="1"/>
        <v>1.0153874271141308</v>
      </c>
      <c r="AG24" s="9">
        <f t="shared" si="2"/>
        <v>9.2726418813597597E-2</v>
      </c>
      <c r="AH24" s="11">
        <f t="shared" si="3"/>
        <v>253.69948187400303</v>
      </c>
    </row>
    <row r="25" spans="1:34" x14ac:dyDescent="0.25">
      <c r="I25" s="1"/>
      <c r="J25" s="1"/>
      <c r="O25" s="6">
        <f t="shared" si="15"/>
        <v>28</v>
      </c>
      <c r="P25" s="7">
        <f t="shared" si="13"/>
        <v>4.2360060514372161E-2</v>
      </c>
      <c r="Q25" s="8">
        <f t="shared" si="14"/>
        <v>2.657468970363063</v>
      </c>
      <c r="R25" s="8">
        <f>S25/(0.109*(AR_e/(AR_e+3)))</f>
        <v>12.014044151538126</v>
      </c>
      <c r="S25" s="9">
        <f t="shared" si="4"/>
        <v>0.87302054167843701</v>
      </c>
      <c r="T25" s="9">
        <f t="shared" si="5"/>
        <v>8.8951947827237005E-2</v>
      </c>
      <c r="U25" s="8">
        <f t="shared" si="6"/>
        <v>1.1819352060211821</v>
      </c>
      <c r="V25" s="8">
        <f t="shared" si="0"/>
        <v>2.2473999999999998</v>
      </c>
      <c r="W25" s="8">
        <f t="shared" si="7"/>
        <v>9.1849423517317091E-2</v>
      </c>
      <c r="X25" s="10">
        <f t="shared" si="8"/>
        <v>1.044985244057697</v>
      </c>
      <c r="Y25" s="8">
        <f t="shared" si="9"/>
        <v>9.8145185462832423</v>
      </c>
      <c r="Z25" s="9">
        <f t="shared" si="10"/>
        <v>0.41574359953998602</v>
      </c>
      <c r="AA25" s="11">
        <f t="shared" si="11"/>
        <v>1.2053632726185839</v>
      </c>
      <c r="AB25" s="11">
        <f>IF(X25&lt;1,"",W25*O25/60*6080)</f>
        <v>260.60743099313436</v>
      </c>
      <c r="AC25" s="11">
        <f t="shared" ref="AC25:AC68" si="16">DEGREES(ATAN(AE25))</f>
        <v>5.2478598364521716</v>
      </c>
      <c r="AD25" s="11">
        <f t="shared" ref="AD25:AD68" si="17">AC25+R25</f>
        <v>17.261903987990298</v>
      </c>
      <c r="AE25" s="98">
        <f t="shared" ref="AE25:AE68" si="18">W25</f>
        <v>9.1849423517317091E-2</v>
      </c>
      <c r="AF25" s="8">
        <f t="shared" si="1"/>
        <v>1.0919941602983245</v>
      </c>
      <c r="AG25" s="9">
        <f t="shared" si="2"/>
        <v>8.2936009756342716E-2</v>
      </c>
      <c r="AH25" s="11">
        <f t="shared" si="3"/>
        <v>235.3171050153297</v>
      </c>
    </row>
    <row r="26" spans="1:34" x14ac:dyDescent="0.25">
      <c r="I26" s="1"/>
      <c r="J26" s="1"/>
      <c r="O26" s="6">
        <f t="shared" si="15"/>
        <v>29</v>
      </c>
      <c r="P26" s="7">
        <f t="shared" si="13"/>
        <v>4.3872919818456882E-2</v>
      </c>
      <c r="Q26" s="8">
        <f t="shared" si="14"/>
        <v>2.850677811320582</v>
      </c>
      <c r="R26" s="8">
        <f>S26/(0.109*(AR_e/(AR_e+3)))</f>
        <v>11.199774809519489</v>
      </c>
      <c r="S26" s="9">
        <f t="shared" si="4"/>
        <v>0.81385030282508275</v>
      </c>
      <c r="T26" s="9">
        <f t="shared" si="5"/>
        <v>8.3656727547273796E-2</v>
      </c>
      <c r="U26" s="8">
        <f t="shared" si="6"/>
        <v>1.1923918849335235</v>
      </c>
      <c r="V26" s="8">
        <f t="shared" si="0"/>
        <v>2.2235999999999998</v>
      </c>
      <c r="W26" s="8">
        <f t="shared" si="7"/>
        <v>8.8896293364638432E-2</v>
      </c>
      <c r="X26" s="10">
        <f t="shared" si="8"/>
        <v>1.0823061456311862</v>
      </c>
      <c r="Y26" s="8">
        <f t="shared" si="9"/>
        <v>9.7284501400701089</v>
      </c>
      <c r="Z26" s="9">
        <f t="shared" si="10"/>
        <v>0.42681551295315151</v>
      </c>
      <c r="AA26" s="11">
        <f t="shared" si="11"/>
        <v>2.2053632726185839</v>
      </c>
      <c r="AB26" s="11">
        <f t="shared" si="12"/>
        <v>261.23657410088413</v>
      </c>
      <c r="AC26" s="11">
        <f t="shared" si="16"/>
        <v>5.0800287791665255</v>
      </c>
      <c r="AD26" s="11">
        <f t="shared" si="17"/>
        <v>16.279803588686015</v>
      </c>
      <c r="AE26" s="98">
        <f t="shared" si="18"/>
        <v>8.8896293364638432E-2</v>
      </c>
      <c r="AF26" s="8">
        <f t="shared" si="1"/>
        <v>1.1713865928710345</v>
      </c>
      <c r="AG26" s="9">
        <f t="shared" si="2"/>
        <v>7.2828456878763687E-2</v>
      </c>
      <c r="AH26" s="11">
        <f t="shared" si="3"/>
        <v>214.01855861439353</v>
      </c>
    </row>
    <row r="27" spans="1:34" x14ac:dyDescent="0.25">
      <c r="I27" s="1"/>
      <c r="J27" s="1"/>
      <c r="O27" s="6">
        <f t="shared" si="15"/>
        <v>30</v>
      </c>
      <c r="P27" s="7">
        <f t="shared" si="13"/>
        <v>4.5385779122541603E-2</v>
      </c>
      <c r="Q27" s="8">
        <f t="shared" si="14"/>
        <v>3.0506659098555571</v>
      </c>
      <c r="R27" s="8">
        <f>S27/(0.109*(AR_e/(AR_e+3)))</f>
        <v>10.465567349784322</v>
      </c>
      <c r="S27" s="9">
        <f t="shared" si="4"/>
        <v>0.76049789408432733</v>
      </c>
      <c r="T27" s="9">
        <f t="shared" si="5"/>
        <v>7.9200640154477267E-2</v>
      </c>
      <c r="U27" s="8">
        <f t="shared" si="6"/>
        <v>1.2080734647900047</v>
      </c>
      <c r="V27" s="8">
        <f t="shared" si="0"/>
        <v>2.1993999999999998</v>
      </c>
      <c r="W27" s="8">
        <f t="shared" si="7"/>
        <v>8.5458263183370464E-2</v>
      </c>
      <c r="X27" s="10">
        <f t="shared" si="8"/>
        <v>1.1196270472046754</v>
      </c>
      <c r="Y27" s="8">
        <f t="shared" si="9"/>
        <v>9.6021685254186142</v>
      </c>
      <c r="Z27" s="9">
        <f t="shared" si="10"/>
        <v>0.43580189979207024</v>
      </c>
      <c r="AA27" s="11">
        <f t="shared" si="11"/>
        <v>3.2053632726185839</v>
      </c>
      <c r="AB27" s="11">
        <f t="shared" si="12"/>
        <v>259.79312007744619</v>
      </c>
      <c r="AC27" s="11">
        <f t="shared" si="16"/>
        <v>4.8845301126829561</v>
      </c>
      <c r="AD27" s="11">
        <f t="shared" si="17"/>
        <v>15.350097462467279</v>
      </c>
      <c r="AE27" s="98">
        <f t="shared" si="18"/>
        <v>8.5458263183370464E-2</v>
      </c>
      <c r="AF27" s="8">
        <f t="shared" si="1"/>
        <v>1.2535647248322606</v>
      </c>
      <c r="AG27" s="9">
        <f t="shared" si="2"/>
        <v>6.2403760180860517E-2</v>
      </c>
      <c r="AH27" s="11">
        <f t="shared" si="3"/>
        <v>189.707430949816</v>
      </c>
    </row>
    <row r="28" spans="1:34" x14ac:dyDescent="0.25">
      <c r="A28" s="1" t="s">
        <v>52</v>
      </c>
      <c r="I28" s="1"/>
      <c r="J28" s="1"/>
      <c r="O28" s="6">
        <f t="shared" si="15"/>
        <v>31</v>
      </c>
      <c r="P28" s="7">
        <f t="shared" si="13"/>
        <v>4.6898638426626324E-2</v>
      </c>
      <c r="Q28" s="8">
        <f t="shared" si="14"/>
        <v>3.2574332659679892</v>
      </c>
      <c r="R28" s="8">
        <f>S28/(0.109*(AR_e/(AR_e+3)))</f>
        <v>9.8012597448552459</v>
      </c>
      <c r="S28" s="9">
        <f t="shared" si="4"/>
        <v>0.71222487479281438</v>
      </c>
      <c r="T28" s="9">
        <f t="shared" si="5"/>
        <v>7.5429051320820908E-2</v>
      </c>
      <c r="U28" s="8">
        <f t="shared" si="6"/>
        <v>1.2285255049642436</v>
      </c>
      <c r="V28" s="8">
        <f t="shared" si="0"/>
        <v>2.1747999999999998</v>
      </c>
      <c r="W28" s="8">
        <f t="shared" si="7"/>
        <v>8.1574508467430862E-2</v>
      </c>
      <c r="X28" s="10">
        <f t="shared" si="8"/>
        <v>1.1569479487781646</v>
      </c>
      <c r="Y28" s="8">
        <f t="shared" si="9"/>
        <v>9.4423151600239841</v>
      </c>
      <c r="Z28" s="9">
        <f t="shared" si="10"/>
        <v>0.44283172460021708</v>
      </c>
      <c r="AA28" s="11">
        <f t="shared" si="11"/>
        <v>4.2053632726185839</v>
      </c>
      <c r="AB28" s="11">
        <f t="shared" si="12"/>
        <v>256.25272259902283</v>
      </c>
      <c r="AC28" s="11">
        <f t="shared" si="16"/>
        <v>4.6635489694000594</v>
      </c>
      <c r="AD28" s="11">
        <f t="shared" si="17"/>
        <v>14.464808714255305</v>
      </c>
      <c r="AE28" s="98">
        <f t="shared" si="18"/>
        <v>8.1574508467430862E-2</v>
      </c>
      <c r="AF28" s="8">
        <f t="shared" si="1"/>
        <v>1.3385285561820026</v>
      </c>
      <c r="AG28" s="9">
        <f t="shared" si="2"/>
        <v>5.1661919662633178E-2</v>
      </c>
      <c r="AH28" s="11">
        <f t="shared" si="3"/>
        <v>162.28731030021837</v>
      </c>
    </row>
    <row r="29" spans="1:34" x14ac:dyDescent="0.25">
      <c r="A29" s="1" t="s">
        <v>92</v>
      </c>
      <c r="B29" s="53">
        <f>EW</f>
        <v>2.79</v>
      </c>
      <c r="C29" s="1" t="s">
        <v>53</v>
      </c>
      <c r="I29" s="1"/>
      <c r="J29" s="1"/>
      <c r="O29" s="6">
        <f t="shared" si="15"/>
        <v>32</v>
      </c>
      <c r="P29" s="7">
        <f t="shared" si="13"/>
        <v>4.8411497730711045E-2</v>
      </c>
      <c r="Q29" s="8">
        <f t="shared" si="14"/>
        <v>3.4709798796578788</v>
      </c>
      <c r="R29" s="8">
        <f>S29/(0.109*(AR_e/(AR_e+3)))</f>
        <v>9.1982525535213764</v>
      </c>
      <c r="S29" s="9">
        <f t="shared" si="4"/>
        <v>0.66840635222255329</v>
      </c>
      <c r="T29" s="9">
        <f t="shared" si="5"/>
        <v>7.2219574087829336E-2</v>
      </c>
      <c r="U29" s="8">
        <f t="shared" si="6"/>
        <v>1.2533634428815856</v>
      </c>
      <c r="V29" s="8">
        <f t="shared" si="0"/>
        <v>2.1497999999999999</v>
      </c>
      <c r="W29" s="8">
        <f t="shared" si="7"/>
        <v>7.7278180805673599E-2</v>
      </c>
      <c r="X29" s="10">
        <f t="shared" si="8"/>
        <v>1.1942688503516539</v>
      </c>
      <c r="Y29" s="8">
        <f t="shared" si="9"/>
        <v>9.2551965400637162</v>
      </c>
      <c r="Z29" s="9">
        <f t="shared" si="10"/>
        <v>0.44805792629657931</v>
      </c>
      <c r="AA29" s="11">
        <f t="shared" si="11"/>
        <v>5.2053632726185839</v>
      </c>
      <c r="AB29" s="11">
        <f t="shared" si="12"/>
        <v>250.58738095919759</v>
      </c>
      <c r="AC29" s="11">
        <f t="shared" si="16"/>
        <v>4.4189310766064027</v>
      </c>
      <c r="AD29" s="11">
        <f t="shared" si="17"/>
        <v>13.61718363012778</v>
      </c>
      <c r="AE29" s="98">
        <f t="shared" si="18"/>
        <v>7.7278180805673599E-2</v>
      </c>
      <c r="AF29" s="8">
        <f t="shared" si="1"/>
        <v>1.4262780869202609</v>
      </c>
      <c r="AG29" s="9">
        <f t="shared" si="2"/>
        <v>4.0602935324081657E-2</v>
      </c>
      <c r="AH29" s="11">
        <f t="shared" si="3"/>
        <v>131.66178494422212</v>
      </c>
    </row>
    <row r="30" spans="1:34" x14ac:dyDescent="0.25">
      <c r="A30" s="1" t="s">
        <v>42</v>
      </c>
      <c r="B30" s="1">
        <f>B21</f>
        <v>2.72</v>
      </c>
      <c r="C30" s="1" t="s">
        <v>53</v>
      </c>
      <c r="I30" s="1"/>
      <c r="J30" s="1"/>
      <c r="O30" s="6">
        <f t="shared" si="15"/>
        <v>33</v>
      </c>
      <c r="P30" s="7">
        <f t="shared" si="13"/>
        <v>4.9924357034795766E-2</v>
      </c>
      <c r="Q30" s="8">
        <f t="shared" si="14"/>
        <v>3.6913057509252245</v>
      </c>
      <c r="R30" s="8">
        <f>S30/(0.109*(AR_e/(AR_e+3)))</f>
        <v>8.6492292146977867</v>
      </c>
      <c r="S30" s="9">
        <f t="shared" si="4"/>
        <v>0.62851065626803915</v>
      </c>
      <c r="T30" s="9">
        <f t="shared" si="5"/>
        <v>6.9474607210925063E-2</v>
      </c>
      <c r="U30" s="8">
        <f>IF(T30="","",Q30*T30*$P$13)</f>
        <v>1.2822600857047939</v>
      </c>
      <c r="V30" s="8">
        <f t="shared" si="0"/>
        <v>2.1243999999999996</v>
      </c>
      <c r="W30" s="8">
        <f t="shared" si="7"/>
        <v>7.2597486173227088E-2</v>
      </c>
      <c r="X30" s="10">
        <f t="shared" si="8"/>
        <v>1.2315897519251431</v>
      </c>
      <c r="Y30" s="8">
        <f t="shared" si="9"/>
        <v>9.0466241048312721</v>
      </c>
      <c r="Z30" s="9">
        <f t="shared" si="10"/>
        <v>0.45164689176918604</v>
      </c>
      <c r="AA30" s="11">
        <f t="shared" si="11"/>
        <v>6.2053632726185839</v>
      </c>
      <c r="AB30" s="11">
        <f t="shared" si="12"/>
        <v>242.76599376327135</v>
      </c>
      <c r="AC30" s="11">
        <f t="shared" si="16"/>
        <v>4.152245127654008</v>
      </c>
      <c r="AD30" s="11">
        <f t="shared" si="17"/>
        <v>12.801474342351796</v>
      </c>
      <c r="AE30" s="98">
        <f t="shared" si="18"/>
        <v>7.2597486173227088E-2</v>
      </c>
      <c r="AF30" s="8">
        <f t="shared" si="1"/>
        <v>1.5168133170470355</v>
      </c>
      <c r="AG30" s="9">
        <f t="shared" si="2"/>
        <v>2.9226807165205967E-2</v>
      </c>
      <c r="AH30" s="11">
        <f t="shared" si="3"/>
        <v>97.734443160448762</v>
      </c>
    </row>
    <row r="31" spans="1:34" x14ac:dyDescent="0.25">
      <c r="A31" s="1" t="s">
        <v>57</v>
      </c>
      <c r="B31" s="1">
        <f>'Aircraft Dimensions'!C2</f>
        <v>52</v>
      </c>
      <c r="I31" s="1"/>
      <c r="J31" s="1"/>
      <c r="O31" s="6">
        <f t="shared" si="15"/>
        <v>34</v>
      </c>
      <c r="P31" s="7">
        <f t="shared" si="13"/>
        <v>5.1437216338880487E-2</v>
      </c>
      <c r="Q31" s="8">
        <f t="shared" si="14"/>
        <v>3.9184108797700272</v>
      </c>
      <c r="R31" s="8">
        <f>S31/(0.109*(AR_e/(AR_e+3)))</f>
        <v>8.1479330577905618</v>
      </c>
      <c r="S31" s="9">
        <f t="shared" si="4"/>
        <v>0.5920831355327808</v>
      </c>
      <c r="T31" s="9">
        <f t="shared" si="5"/>
        <v>6.7115760888750153E-2</v>
      </c>
      <c r="U31" s="8">
        <f t="shared" si="6"/>
        <v>1.3149356383526114</v>
      </c>
      <c r="V31" s="8">
        <f t="shared" si="0"/>
        <v>2.0985999999999998</v>
      </c>
      <c r="W31" s="8">
        <f t="shared" si="7"/>
        <v>6.7556544575803151E-2</v>
      </c>
      <c r="X31" s="10">
        <f t="shared" si="8"/>
        <v>1.2689106534986321</v>
      </c>
      <c r="Y31" s="8">
        <f t="shared" si="9"/>
        <v>8.8218196097665782</v>
      </c>
      <c r="Z31" s="9">
        <f t="shared" si="10"/>
        <v>0.45376984377014173</v>
      </c>
      <c r="AA31" s="11">
        <f t="shared" si="11"/>
        <v>7.2053632726185839</v>
      </c>
      <c r="AB31" s="11">
        <f t="shared" si="12"/>
        <v>232.75481491183379</v>
      </c>
      <c r="AC31" s="11">
        <f t="shared" si="16"/>
        <v>3.8648324687349165</v>
      </c>
      <c r="AD31" s="11">
        <f t="shared" si="17"/>
        <v>12.012765526525477</v>
      </c>
      <c r="AE31" s="98">
        <f t="shared" si="18"/>
        <v>6.7556544575803151E-2</v>
      </c>
      <c r="AF31" s="8">
        <f t="shared" si="1"/>
        <v>1.6101342465623256</v>
      </c>
      <c r="AG31" s="9">
        <f t="shared" si="2"/>
        <v>1.7533535186006158E-2</v>
      </c>
      <c r="AH31" s="11">
        <f t="shared" si="3"/>
        <v>60.408873227519877</v>
      </c>
    </row>
    <row r="32" spans="1:34" x14ac:dyDescent="0.25">
      <c r="A32" s="1" t="s">
        <v>59</v>
      </c>
      <c r="B32" s="1">
        <f>'Aircraft Dimensions'!P2</f>
        <v>1.2585</v>
      </c>
      <c r="C32" s="1" t="s">
        <v>58</v>
      </c>
      <c r="I32" s="1"/>
      <c r="J32" s="1"/>
      <c r="O32" s="6">
        <f t="shared" si="15"/>
        <v>35</v>
      </c>
      <c r="P32" s="7">
        <f t="shared" si="13"/>
        <v>5.2950075642965201E-2</v>
      </c>
      <c r="Q32" s="8">
        <f t="shared" si="14"/>
        <v>4.1522952661922865</v>
      </c>
      <c r="R32" s="8">
        <f>S32/(0.109*(AR_e/(AR_e+3)))</f>
        <v>7.688988256984401</v>
      </c>
      <c r="S32" s="9">
        <f t="shared" si="4"/>
        <v>0.55873314667419971</v>
      </c>
      <c r="T32" s="9">
        <f t="shared" si="5"/>
        <v>6.5079654025032407E-2</v>
      </c>
      <c r="U32" s="8">
        <f t="shared" si="6"/>
        <v>1.3511496966678693</v>
      </c>
      <c r="V32" s="8">
        <f t="shared" si="0"/>
        <v>2.0724</v>
      </c>
      <c r="W32" s="8">
        <f t="shared" si="7"/>
        <v>6.2176080286387499E-2</v>
      </c>
      <c r="X32" s="10">
        <f t="shared" si="8"/>
        <v>1.3062315550721213</v>
      </c>
      <c r="Y32" s="8">
        <f t="shared" si="9"/>
        <v>8.5853736477960858</v>
      </c>
      <c r="Z32" s="9">
        <f t="shared" si="10"/>
        <v>0.45459618407392283</v>
      </c>
      <c r="AA32" s="11">
        <f t="shared" si="11"/>
        <v>8.2053632726185839</v>
      </c>
      <c r="AB32" s="11">
        <f t="shared" si="12"/>
        <v>220.51783141572102</v>
      </c>
      <c r="AC32" s="11">
        <f t="shared" si="16"/>
        <v>3.5578469852397219</v>
      </c>
      <c r="AD32" s="11">
        <f t="shared" si="17"/>
        <v>11.246835242224122</v>
      </c>
      <c r="AE32" s="98">
        <f t="shared" si="18"/>
        <v>6.2176080286387499E-2</v>
      </c>
      <c r="AF32" s="8">
        <f t="shared" si="1"/>
        <v>1.7062408754661322</v>
      </c>
      <c r="AG32" s="9">
        <f t="shared" si="2"/>
        <v>5.5231193864822437E-3</v>
      </c>
      <c r="AH32" s="11">
        <f t="shared" si="3"/>
        <v>19.588663424057025</v>
      </c>
    </row>
    <row r="33" spans="1:34" ht="15.75" thickBot="1" x14ac:dyDescent="0.3">
      <c r="A33" s="1" t="s">
        <v>60</v>
      </c>
      <c r="B33" s="1">
        <f>'Aircraft Dimensions'!F2</f>
        <v>4</v>
      </c>
      <c r="I33" s="1"/>
      <c r="J33" s="1"/>
      <c r="O33" s="6">
        <f t="shared" si="15"/>
        <v>36</v>
      </c>
      <c r="P33" s="7">
        <f t="shared" si="13"/>
        <v>5.4462934947049922E-2</v>
      </c>
      <c r="Q33" s="8">
        <f t="shared" si="14"/>
        <v>4.3929589101920019</v>
      </c>
      <c r="R33" s="8">
        <f>S33/(0.109*(AR_e/(AR_e+3)))</f>
        <v>7.2677551040168922</v>
      </c>
      <c r="S33" s="9">
        <f t="shared" si="4"/>
        <v>0.52812353755856078</v>
      </c>
      <c r="T33" s="9">
        <f t="shared" si="5"/>
        <v>6.3314718107838217E-2</v>
      </c>
      <c r="U33" s="8">
        <f t="shared" si="6"/>
        <v>1.390694775290614</v>
      </c>
      <c r="V33" s="8">
        <f t="shared" si="0"/>
        <v>2.0457999999999998</v>
      </c>
      <c r="W33" s="8">
        <f t="shared" si="7"/>
        <v>5.6473979781199418E-2</v>
      </c>
      <c r="X33" s="10">
        <f t="shared" si="8"/>
        <v>1.3435524566456105</v>
      </c>
      <c r="Y33" s="8">
        <f t="shared" si="9"/>
        <v>8.3412443953245727</v>
      </c>
      <c r="Z33" s="9">
        <f t="shared" si="10"/>
        <v>0.45428865088000697</v>
      </c>
      <c r="AA33" s="11">
        <f t="shared" si="11"/>
        <v>9.2053632726185839</v>
      </c>
      <c r="AB33" s="11">
        <f t="shared" si="12"/>
        <v>206.01707824181545</v>
      </c>
      <c r="AC33" s="11">
        <f t="shared" si="16"/>
        <v>3.2322873554894929</v>
      </c>
      <c r="AD33" s="11">
        <f t="shared" si="17"/>
        <v>10.500042459506385</v>
      </c>
      <c r="AE33" s="98">
        <f t="shared" si="18"/>
        <v>5.6473979781199418E-2</v>
      </c>
      <c r="AF33" s="8">
        <f t="shared" si="1"/>
        <v>1.8051332037584551</v>
      </c>
      <c r="AG33" s="9">
        <f t="shared" si="2"/>
        <v>-6.804440233365871E-3</v>
      </c>
      <c r="AH33" s="11">
        <f t="shared" si="3"/>
        <v>-24.822597971318697</v>
      </c>
    </row>
    <row r="34" spans="1:34" ht="16.5" thickTop="1" thickBot="1" x14ac:dyDescent="0.3">
      <c r="A34" s="1" t="s">
        <v>61</v>
      </c>
      <c r="B34" s="1">
        <f>'Aircraft Dimensions'!P3</f>
        <v>8</v>
      </c>
      <c r="C34" s="1" t="s">
        <v>58</v>
      </c>
      <c r="F34" s="30" t="s">
        <v>39</v>
      </c>
      <c r="G34" s="31">
        <v>-1E-4</v>
      </c>
      <c r="H34" t="s">
        <v>45</v>
      </c>
      <c r="I34" s="1"/>
      <c r="J34" s="1"/>
      <c r="O34" s="6">
        <f t="shared" si="15"/>
        <v>37</v>
      </c>
      <c r="P34" s="7">
        <f t="shared" si="13"/>
        <v>5.5975794251134643E-2</v>
      </c>
      <c r="Q34" s="8">
        <f t="shared" si="14"/>
        <v>4.6404018117691752</v>
      </c>
      <c r="R34" s="8">
        <f>S34/(0.109*(AR_e/(AR_e+3)))</f>
        <v>6.8802122825463039</v>
      </c>
      <c r="S34" s="9">
        <f t="shared" si="4"/>
        <v>0.49996209253169804</v>
      </c>
      <c r="T34" s="9">
        <f t="shared" si="5"/>
        <v>6.1778746805638385E-2</v>
      </c>
      <c r="U34" s="8">
        <f t="shared" si="6"/>
        <v>1.4333910430285677</v>
      </c>
      <c r="V34" s="8">
        <f t="shared" si="0"/>
        <v>2.0187999999999997</v>
      </c>
      <c r="W34" s="8">
        <f t="shared" si="7"/>
        <v>5.0465745582175377E-2</v>
      </c>
      <c r="X34" s="10">
        <f t="shared" si="8"/>
        <v>1.3808733582190995</v>
      </c>
      <c r="Y34" s="8">
        <f t="shared" si="9"/>
        <v>8.092784628743356</v>
      </c>
      <c r="Z34" s="9">
        <f t="shared" si="10"/>
        <v>0.45300004729728316</v>
      </c>
      <c r="AA34" s="11">
        <f t="shared" si="11"/>
        <v>10.205363272618584</v>
      </c>
      <c r="AB34" s="11">
        <f t="shared" si="12"/>
        <v>189.21290210276953</v>
      </c>
      <c r="AC34" s="11">
        <f t="shared" si="16"/>
        <v>2.8890233152916265</v>
      </c>
      <c r="AD34" s="11">
        <f t="shared" si="17"/>
        <v>9.7692355978379304</v>
      </c>
      <c r="AE34" s="98">
        <f t="shared" si="18"/>
        <v>5.0465745582175377E-2</v>
      </c>
      <c r="AF34" s="8">
        <f t="shared" si="1"/>
        <v>1.9068112314392935</v>
      </c>
      <c r="AG34" s="9">
        <f t="shared" si="2"/>
        <v>-1.9449143673538186E-2</v>
      </c>
      <c r="AH34" s="11">
        <f t="shared" si="3"/>
        <v>-72.921322679985835</v>
      </c>
    </row>
    <row r="35" spans="1:34" ht="16.5" thickTop="1" thickBot="1" x14ac:dyDescent="0.3">
      <c r="F35" s="30" t="s">
        <v>40</v>
      </c>
      <c r="G35" s="30">
        <v>-6.1999999999999998E-3</v>
      </c>
      <c r="H35" t="s">
        <v>46</v>
      </c>
      <c r="I35" s="1"/>
      <c r="J35" s="1"/>
      <c r="O35" s="6">
        <f t="shared" si="15"/>
        <v>38</v>
      </c>
      <c r="P35" s="7">
        <f t="shared" si="13"/>
        <v>5.7488653555219364E-2</v>
      </c>
      <c r="Q35" s="8">
        <f t="shared" si="14"/>
        <v>4.8946239709238055</v>
      </c>
      <c r="R35" s="8">
        <f>S35/(0.109*(AR_e/(AR_e+3)))</f>
        <v>6.5228605365691763</v>
      </c>
      <c r="S35" s="9">
        <f t="shared" si="4"/>
        <v>0.47399453232402672</v>
      </c>
      <c r="T35" s="9">
        <f t="shared" si="5"/>
        <v>6.0437002872737462E-2</v>
      </c>
      <c r="U35" s="8">
        <f t="shared" si="6"/>
        <v>1.4790820149584583</v>
      </c>
      <c r="V35" s="8">
        <f t="shared" si="0"/>
        <v>1.9913999999999998</v>
      </c>
      <c r="W35" s="8">
        <f t="shared" si="7"/>
        <v>4.4164867623542131E-2</v>
      </c>
      <c r="X35" s="10">
        <f t="shared" si="8"/>
        <v>1.4181942597925887</v>
      </c>
      <c r="Y35" s="8">
        <f t="shared" si="9"/>
        <v>7.8427868655585007</v>
      </c>
      <c r="Z35" s="9">
        <f t="shared" si="10"/>
        <v>0.45087125702151742</v>
      </c>
      <c r="AA35" s="11">
        <f t="shared" si="11"/>
        <v>11.205363272618584</v>
      </c>
      <c r="AB35" s="11">
        <f t="shared" si="12"/>
        <v>170.06418359571956</v>
      </c>
      <c r="AC35" s="11">
        <f t="shared" si="16"/>
        <v>2.5288171893259417</v>
      </c>
      <c r="AD35" s="11">
        <f t="shared" si="17"/>
        <v>9.051677725895118</v>
      </c>
      <c r="AE35" s="98">
        <f t="shared" si="18"/>
        <v>4.4164867623542131E-2</v>
      </c>
      <c r="AF35" s="8">
        <f t="shared" si="1"/>
        <v>2.0112749585086487</v>
      </c>
      <c r="AG35" s="9">
        <f t="shared" si="2"/>
        <v>-3.2410990934034642E-2</v>
      </c>
      <c r="AH35" s="11">
        <f t="shared" si="3"/>
        <v>-124.80392242332273</v>
      </c>
    </row>
    <row r="36" spans="1:34" ht="16.5" thickTop="1" thickBot="1" x14ac:dyDescent="0.3">
      <c r="F36" s="30" t="s">
        <v>41</v>
      </c>
      <c r="G36" s="30">
        <v>1.3756999999999999</v>
      </c>
      <c r="I36" s="1"/>
      <c r="J36" s="1"/>
      <c r="O36" s="6">
        <f t="shared" si="15"/>
        <v>39</v>
      </c>
      <c r="P36" s="7">
        <f t="shared" ref="P36:P42" si="19">O36/661</f>
        <v>5.9001512859304085E-2</v>
      </c>
      <c r="Q36" s="8">
        <f t="shared" ref="Q36:Q42" si="20">1481*P36^2</f>
        <v>5.155625387655892</v>
      </c>
      <c r="R36" s="8">
        <f>S36/(0.109*(AR_e/(AR_e+3)))</f>
        <v>6.192643402239244</v>
      </c>
      <c r="S36" s="9">
        <f t="shared" ref="S36:S42" si="21">IF(X36&lt;1,"",$P$10/Q36/$P$13)</f>
        <v>0.44999875389605171</v>
      </c>
      <c r="T36" s="9">
        <f t="shared" ref="T36:T42" si="22">IF(X36&lt;1,"",S36^2/(PI()*$P$12)+$P$11)</f>
        <v>5.9260745020437697E-2</v>
      </c>
      <c r="U36" s="8">
        <f t="shared" ref="U36:U42" si="23">IF(T36="","",Q36*T36*$P$13)</f>
        <v>1.5276310075938553</v>
      </c>
      <c r="V36" s="8">
        <f t="shared" si="0"/>
        <v>1.9635999999999998</v>
      </c>
      <c r="W36" s="8">
        <f t="shared" ref="W36:W42" si="24">IF(T36="","",(V36-U36)/$P$10)</f>
        <v>3.7583128837503435E-2</v>
      </c>
      <c r="X36" s="10">
        <f t="shared" ref="X36:X42" si="25">P36/$V$9</f>
        <v>1.4555151613660779</v>
      </c>
      <c r="Y36" s="8">
        <f t="shared" ref="Y36:Y42" si="26">IF(X36&lt;1,"",S36/T36)</f>
        <v>7.5935385851267521</v>
      </c>
      <c r="Z36" s="9">
        <f t="shared" ref="Z36:Z42" si="27">IF(X36&lt;1,"",Y36*P36)</f>
        <v>0.44803026447797784</v>
      </c>
      <c r="AA36" s="11">
        <f t="shared" ref="AA36:AA42" si="28">O36-$V$10</f>
        <v>12.205363272618584</v>
      </c>
      <c r="AB36" s="11">
        <f t="shared" ref="AB36:AB42" si="29">IF(X36&lt;1,"",W36*O36/60*6080)</f>
        <v>148.52852516581356</v>
      </c>
      <c r="AC36" s="11">
        <f t="shared" si="16"/>
        <v>2.152341656559607</v>
      </c>
      <c r="AD36" s="11">
        <f t="shared" si="17"/>
        <v>8.3449850587988514</v>
      </c>
      <c r="AE36" s="98">
        <f t="shared" si="18"/>
        <v>3.7583128837503435E-2</v>
      </c>
      <c r="AF36" s="8">
        <f t="shared" ref="AF36:AF42" si="30">IF(X36&lt;1,"",X36^2)</f>
        <v>2.1185243849665198</v>
      </c>
      <c r="AG36" s="9">
        <f t="shared" ref="AG36:AG42" si="31">IF(X36&lt;1,"",(V36-(Q36*$P$13*($P$11+$P$8^2/(PI()*$P$12))))/$P$10)</f>
        <v>-4.5689982014855246E-2</v>
      </c>
      <c r="AH36" s="11">
        <f t="shared" ref="AH36:AH42" si="32">IF(X36&lt;1,"",AG36*O36*6080/60)</f>
        <v>-180.56680892270793</v>
      </c>
    </row>
    <row r="37" spans="1:34" ht="15.75" thickTop="1" x14ac:dyDescent="0.25">
      <c r="I37" s="1"/>
      <c r="J37" s="1"/>
      <c r="O37" s="6">
        <f t="shared" si="15"/>
        <v>40</v>
      </c>
      <c r="P37" s="7">
        <f t="shared" si="19"/>
        <v>6.0514372163388806E-2</v>
      </c>
      <c r="Q37" s="8">
        <f t="shared" si="20"/>
        <v>5.4234060619654354</v>
      </c>
      <c r="R37" s="8">
        <f>S37/(0.109*(AR_e/(AR_e+3)))</f>
        <v>5.8868816342536814</v>
      </c>
      <c r="S37" s="9">
        <f t="shared" si="21"/>
        <v>0.42778006542243413</v>
      </c>
      <c r="T37" s="9">
        <f t="shared" si="22"/>
        <v>5.8226073741371023E-2</v>
      </c>
      <c r="U37" s="8">
        <f t="shared" si="23"/>
        <v>1.5789182064669904</v>
      </c>
      <c r="V37" s="8">
        <f t="shared" si="0"/>
        <v>1.9353999999999998</v>
      </c>
      <c r="W37" s="8">
        <f t="shared" si="24"/>
        <v>3.0730857946186733E-2</v>
      </c>
      <c r="X37" s="10">
        <f t="shared" si="25"/>
        <v>1.4928360629395672</v>
      </c>
      <c r="Y37" s="8">
        <f t="shared" si="26"/>
        <v>7.3468815246336305</v>
      </c>
      <c r="Z37" s="9">
        <f t="shared" si="27"/>
        <v>0.44459192282200488</v>
      </c>
      <c r="AA37" s="11">
        <f t="shared" si="28"/>
        <v>13.205363272618584</v>
      </c>
      <c r="AB37" s="11">
        <f t="shared" si="29"/>
        <v>124.56241087521023</v>
      </c>
      <c r="AC37" s="11">
        <f t="shared" si="16"/>
        <v>1.7601944998089321</v>
      </c>
      <c r="AD37" s="11">
        <f t="shared" si="17"/>
        <v>7.6470761340626137</v>
      </c>
      <c r="AE37" s="98">
        <f t="shared" si="18"/>
        <v>3.0730857946186733E-2</v>
      </c>
      <c r="AF37" s="8">
        <f t="shared" si="30"/>
        <v>2.2285595108129073</v>
      </c>
      <c r="AG37" s="9">
        <f t="shared" si="31"/>
        <v>-5.9286116916000005E-2</v>
      </c>
      <c r="AH37" s="11">
        <f t="shared" si="32"/>
        <v>-240.30639389952003</v>
      </c>
    </row>
    <row r="38" spans="1:34" x14ac:dyDescent="0.25">
      <c r="A38" s="1" t="s">
        <v>54</v>
      </c>
      <c r="B38" s="1">
        <f>B29+B30</f>
        <v>5.51</v>
      </c>
      <c r="C38" s="1" t="s">
        <v>53</v>
      </c>
      <c r="I38" s="1"/>
      <c r="J38" s="1"/>
      <c r="O38" s="6">
        <f t="shared" si="15"/>
        <v>41</v>
      </c>
      <c r="P38" s="7">
        <f t="shared" si="19"/>
        <v>6.2027231467473527E-2</v>
      </c>
      <c r="Q38" s="8">
        <f t="shared" si="20"/>
        <v>5.6979659938524359</v>
      </c>
      <c r="R38" s="8">
        <f>S38/(0.109*(AR_e/(AR_e+3)))</f>
        <v>5.6032186881653123</v>
      </c>
      <c r="S38" s="9">
        <f t="shared" si="21"/>
        <v>0.40716722467334598</v>
      </c>
      <c r="T38" s="9">
        <f t="shared" si="22"/>
        <v>5.7313021168871901E-2</v>
      </c>
      <c r="U38" s="8">
        <f t="shared" si="23"/>
        <v>1.6328382281258844</v>
      </c>
      <c r="V38" s="8">
        <f t="shared" si="0"/>
        <v>1.9067999999999998</v>
      </c>
      <c r="W38" s="8">
        <f t="shared" si="24"/>
        <v>2.361713963203978E-2</v>
      </c>
      <c r="X38" s="10">
        <f t="shared" si="25"/>
        <v>1.5301569645130564</v>
      </c>
      <c r="Y38" s="8">
        <f t="shared" si="26"/>
        <v>7.1042708335621372</v>
      </c>
      <c r="Z38" s="9">
        <f t="shared" si="27"/>
        <v>0.44065825140097981</v>
      </c>
      <c r="AA38" s="11">
        <f t="shared" si="28"/>
        <v>14.205363272618584</v>
      </c>
      <c r="AB38" s="11">
        <f t="shared" si="29"/>
        <v>98.12134279124794</v>
      </c>
      <c r="AC38" s="11">
        <f t="shared" si="16"/>
        <v>1.3529109251032063</v>
      </c>
      <c r="AD38" s="11">
        <f t="shared" si="17"/>
        <v>6.9561296132685184</v>
      </c>
      <c r="AE38" s="98">
        <f t="shared" si="18"/>
        <v>2.361713963203978E-2</v>
      </c>
      <c r="AF38" s="8">
        <f t="shared" si="30"/>
        <v>2.3413803360478109</v>
      </c>
      <c r="AG38" s="9">
        <f t="shared" si="31"/>
        <v>-7.3199395637468939E-2</v>
      </c>
      <c r="AH38" s="11">
        <f t="shared" si="32"/>
        <v>-304.11908907513765</v>
      </c>
    </row>
    <row r="39" spans="1:34" x14ac:dyDescent="0.25">
      <c r="A39" s="1" t="s">
        <v>55</v>
      </c>
      <c r="B39" s="1">
        <f>B38+B31*B32/16</f>
        <v>9.6001249999999985</v>
      </c>
      <c r="C39" s="1" t="s">
        <v>53</v>
      </c>
      <c r="I39" s="1"/>
      <c r="J39" s="1"/>
      <c r="O39" s="6">
        <f t="shared" si="15"/>
        <v>42</v>
      </c>
      <c r="P39" s="7">
        <f t="shared" si="19"/>
        <v>6.3540090771558241E-2</v>
      </c>
      <c r="Q39" s="8">
        <f t="shared" si="20"/>
        <v>5.9793051833168924</v>
      </c>
      <c r="R39" s="8">
        <f>S39/(0.109*(AR_e/(AR_e+3)))</f>
        <v>5.3395751784613887</v>
      </c>
      <c r="S39" s="9">
        <f t="shared" si="21"/>
        <v>0.38800912963486089</v>
      </c>
      <c r="T39" s="9">
        <f t="shared" si="22"/>
        <v>5.6504828963622904E-2</v>
      </c>
      <c r="U39" s="8">
        <f t="shared" si="23"/>
        <v>1.6892980835231244</v>
      </c>
      <c r="V39" s="8">
        <f t="shared" si="0"/>
        <v>1.8777999999999999</v>
      </c>
      <c r="W39" s="8">
        <f t="shared" si="24"/>
        <v>1.6249990105871751E-2</v>
      </c>
      <c r="X39" s="10">
        <f t="shared" si="25"/>
        <v>1.5674778660865454</v>
      </c>
      <c r="Y39" s="8">
        <f t="shared" si="26"/>
        <v>6.8668313266580503</v>
      </c>
      <c r="Z39" s="9">
        <f t="shared" si="27"/>
        <v>0.43631908580883222</v>
      </c>
      <c r="AA39" s="11">
        <f t="shared" si="28"/>
        <v>15.205363272618584</v>
      </c>
      <c r="AB39" s="11">
        <f t="shared" si="29"/>
        <v>69.159957890590164</v>
      </c>
      <c r="AC39" s="11">
        <f t="shared" si="16"/>
        <v>0.93097391096561877</v>
      </c>
      <c r="AD39" s="11">
        <f t="shared" si="17"/>
        <v>6.2705490894270071</v>
      </c>
      <c r="AE39" s="98">
        <f t="shared" si="18"/>
        <v>1.6249990105871751E-2</v>
      </c>
      <c r="AF39" s="8">
        <f t="shared" si="30"/>
        <v>2.45698686067123</v>
      </c>
      <c r="AG39" s="9">
        <f t="shared" si="31"/>
        <v>-8.7429818179261987E-2</v>
      </c>
      <c r="AH39" s="11">
        <f t="shared" si="32"/>
        <v>-372.10130617093898</v>
      </c>
    </row>
    <row r="40" spans="1:34" x14ac:dyDescent="0.25">
      <c r="A40" s="1" t="s">
        <v>56</v>
      </c>
      <c r="B40" s="1">
        <f>B31*B32/16+B38+B33*B34/16</f>
        <v>11.600124999999998</v>
      </c>
      <c r="C40" s="1" t="s">
        <v>53</v>
      </c>
      <c r="D40" s="79" t="s">
        <v>157</v>
      </c>
      <c r="I40" s="1"/>
      <c r="J40" s="1"/>
      <c r="O40" s="6">
        <f t="shared" si="15"/>
        <v>43</v>
      </c>
      <c r="P40" s="7">
        <f t="shared" si="19"/>
        <v>6.5052950075642962E-2</v>
      </c>
      <c r="Q40" s="8">
        <f t="shared" si="20"/>
        <v>6.267423630358806</v>
      </c>
      <c r="R40" s="8">
        <f>S40/(0.109*(AR_e/(AR_e+3)))</f>
        <v>5.0941106624153001</v>
      </c>
      <c r="S40" s="9">
        <f t="shared" si="21"/>
        <v>0.37017204146884508</v>
      </c>
      <c r="T40" s="9">
        <f t="shared" si="22"/>
        <v>5.5787372040442193E-2</v>
      </c>
      <c r="U40" s="8">
        <f t="shared" si="23"/>
        <v>1.7482154690094278</v>
      </c>
      <c r="V40" s="8">
        <f t="shared" si="0"/>
        <v>1.8483999999999998</v>
      </c>
      <c r="W40" s="8">
        <f t="shared" si="24"/>
        <v>8.6365044334067113E-3</v>
      </c>
      <c r="X40" s="10">
        <f t="shared" si="25"/>
        <v>1.6047987676600346</v>
      </c>
      <c r="Y40" s="8">
        <f t="shared" si="26"/>
        <v>6.6354091961975659</v>
      </c>
      <c r="Z40" s="9">
        <f t="shared" si="27"/>
        <v>0.43165294317170244</v>
      </c>
      <c r="AA40" s="11">
        <f t="shared" si="28"/>
        <v>16.205363272618584</v>
      </c>
      <c r="AB40" s="11">
        <f t="shared" si="29"/>
        <v>37.632128651164173</v>
      </c>
      <c r="AC40" s="11">
        <f t="shared" si="16"/>
        <v>0.49482295120744774</v>
      </c>
      <c r="AD40" s="11">
        <f t="shared" si="17"/>
        <v>5.5889336136227481</v>
      </c>
      <c r="AE40" s="98">
        <f t="shared" si="18"/>
        <v>8.6365044334067113E-3</v>
      </c>
      <c r="AF40" s="8">
        <f t="shared" si="30"/>
        <v>2.5753790846831657</v>
      </c>
      <c r="AG40" s="9">
        <f t="shared" si="31"/>
        <v>-0.10197738454137921</v>
      </c>
      <c r="AH40" s="11">
        <f t="shared" si="32"/>
        <v>-444.34945690830307</v>
      </c>
    </row>
    <row r="41" spans="1:34" x14ac:dyDescent="0.25">
      <c r="D41" s="79"/>
      <c r="I41" s="1"/>
      <c r="J41" s="1"/>
      <c r="O41" s="6">
        <f t="shared" si="15"/>
        <v>44</v>
      </c>
      <c r="P41" s="7">
        <f t="shared" si="19"/>
        <v>6.6565809379727683E-2</v>
      </c>
      <c r="Q41" s="8">
        <f t="shared" si="20"/>
        <v>6.5623213349781757</v>
      </c>
      <c r="R41" s="8">
        <f>S41/(0.109*(AR_e/(AR_e+3)))</f>
        <v>4.8651914332675057</v>
      </c>
      <c r="S41" s="9">
        <f t="shared" si="21"/>
        <v>0.35353724415077203</v>
      </c>
      <c r="T41" s="9">
        <f t="shared" si="22"/>
        <v>5.5148696130325206E-2</v>
      </c>
      <c r="U41" s="8">
        <f t="shared" si="23"/>
        <v>1.8095173260613073</v>
      </c>
      <c r="V41" s="8">
        <f t="shared" si="0"/>
        <v>1.8185999999999998</v>
      </c>
      <c r="W41" s="8">
        <f t="shared" si="24"/>
        <v>7.8298069535392457E-4</v>
      </c>
      <c r="X41" s="10">
        <f t="shared" si="25"/>
        <v>1.6421196692335238</v>
      </c>
      <c r="Y41" s="8">
        <f t="shared" si="26"/>
        <v>6.4106183637652441</v>
      </c>
      <c r="Z41" s="9">
        <f t="shared" si="27"/>
        <v>0.42672800000857902</v>
      </c>
      <c r="AA41" s="11">
        <f t="shared" si="28"/>
        <v>17.205363272618584</v>
      </c>
      <c r="AB41" s="11">
        <f t="shared" si="29"/>
        <v>3.491049927018032</v>
      </c>
      <c r="AC41" s="11">
        <f t="shared" si="16"/>
        <v>4.4861480116425247E-2</v>
      </c>
      <c r="AD41" s="11">
        <f t="shared" si="17"/>
        <v>4.9100529133839306</v>
      </c>
      <c r="AE41" s="98">
        <f t="shared" si="18"/>
        <v>7.8298069535392457E-4</v>
      </c>
      <c r="AF41" s="8">
        <f t="shared" si="30"/>
        <v>2.6965570080836176</v>
      </c>
      <c r="AG41" s="9">
        <f t="shared" si="31"/>
        <v>-0.11684209472382061</v>
      </c>
      <c r="AH41" s="11">
        <f t="shared" si="32"/>
        <v>-520.95995300860818</v>
      </c>
    </row>
    <row r="42" spans="1:34" x14ac:dyDescent="0.25">
      <c r="I42" s="1"/>
      <c r="J42" s="1"/>
      <c r="O42" s="6">
        <f t="shared" si="15"/>
        <v>45</v>
      </c>
      <c r="P42" s="7">
        <f t="shared" si="19"/>
        <v>6.8078668683812404E-2</v>
      </c>
      <c r="Q42" s="8">
        <f t="shared" si="20"/>
        <v>6.8639982971750042</v>
      </c>
      <c r="R42" s="8">
        <f>S42/(0.109*(AR_e/(AR_e+3)))</f>
        <v>4.6513632665708098</v>
      </c>
      <c r="S42" s="9">
        <f t="shared" si="21"/>
        <v>0.33799906403747881</v>
      </c>
      <c r="T42" s="9">
        <f t="shared" si="22"/>
        <v>5.4578644731966657E-2</v>
      </c>
      <c r="U42" s="8">
        <f t="shared" si="23"/>
        <v>1.8731386225116933</v>
      </c>
      <c r="V42" s="8">
        <f t="shared" si="0"/>
        <v>1.7883999999999998</v>
      </c>
      <c r="W42" s="8">
        <f t="shared" si="24"/>
        <v>-7.3049749473987147E-3</v>
      </c>
      <c r="X42" s="10">
        <f t="shared" si="25"/>
        <v>1.679440570807013</v>
      </c>
      <c r="Y42" s="8">
        <f t="shared" si="26"/>
        <v>6.1928812211695154</v>
      </c>
      <c r="Z42" s="9">
        <f t="shared" si="27"/>
        <v>0.42160310885420299</v>
      </c>
      <c r="AA42" s="11">
        <f t="shared" si="28"/>
        <v>18.205363272618584</v>
      </c>
      <c r="AB42" s="11">
        <f t="shared" si="29"/>
        <v>-33.310685760138142</v>
      </c>
      <c r="AC42" s="11">
        <f t="shared" si="16"/>
        <v>-0.41853678929536342</v>
      </c>
      <c r="AD42" s="11">
        <f t="shared" si="17"/>
        <v>4.232826477275446</v>
      </c>
      <c r="AE42" s="98">
        <f t="shared" si="18"/>
        <v>-7.3049749473987147E-3</v>
      </c>
      <c r="AF42" s="8">
        <f t="shared" si="30"/>
        <v>2.8205206308725859</v>
      </c>
      <c r="AG42" s="9">
        <f t="shared" si="31"/>
        <v>-0.13202394872658621</v>
      </c>
      <c r="AH42" s="11">
        <f t="shared" si="32"/>
        <v>-602.02920619323311</v>
      </c>
    </row>
    <row r="43" spans="1:34" x14ac:dyDescent="0.25">
      <c r="A43" s="1" t="s">
        <v>62</v>
      </c>
      <c r="B43" s="1">
        <f>J12</f>
        <v>44</v>
      </c>
      <c r="C43" s="1" t="s">
        <v>49</v>
      </c>
      <c r="I43" s="1"/>
      <c r="J43" s="1"/>
      <c r="O43" s="6">
        <f t="shared" si="15"/>
        <v>46</v>
      </c>
      <c r="P43" s="7">
        <f t="shared" ref="P43:P66" si="33">O43/661</f>
        <v>6.9591527987897125E-2</v>
      </c>
      <c r="Q43" s="8">
        <f t="shared" ref="Q43:Q66" si="34">1481*P43^2</f>
        <v>7.1724545169492888</v>
      </c>
      <c r="R43" s="8">
        <f>S43/(0.109*(AR_e/(AR_e+3)))</f>
        <v>4.4513282678666775</v>
      </c>
      <c r="S43" s="9">
        <f t="shared" ref="S43:S66" si="35">IF(X43&lt;1,"",$P$10/Q43/$P$13)</f>
        <v>0.32346318746497854</v>
      </c>
      <c r="T43" s="9">
        <f t="shared" ref="T43:T66" si="36">IF(X43&lt;1,"",S43^2/(PI()*$P$12)+$P$11)</f>
        <v>5.4068556659588186E-2</v>
      </c>
      <c r="U43" s="8">
        <f t="shared" ref="U43:U66" si="37">IF(T43="","",Q43*T43*$P$13)</f>
        <v>1.9390213171899593</v>
      </c>
      <c r="V43" s="8">
        <f t="shared" si="0"/>
        <v>1.7577999999999998</v>
      </c>
      <c r="W43" s="8">
        <f t="shared" ref="W43:W66" si="38">IF(T43="","",(V43-U43)/$P$10)</f>
        <v>-1.5622358999576256E-2</v>
      </c>
      <c r="X43" s="10">
        <f t="shared" ref="X43:X66" si="39">P43/$V$9</f>
        <v>1.7167614723805023</v>
      </c>
      <c r="Y43" s="8">
        <f t="shared" ref="Y43:Y66" si="40">IF(X43&lt;1,"",S43/T43)</f>
        <v>5.9824638837962683</v>
      </c>
      <c r="Z43" s="9">
        <f t="shared" ref="Z43:Z66" si="41">IF(X43&lt;1,"",Y43*P43)</f>
        <v>0.41632880280579176</v>
      </c>
      <c r="AA43" s="11">
        <f t="shared" ref="AA43:AA66" si="42">O43-$V$10</f>
        <v>19.205363272618584</v>
      </c>
      <c r="AB43" s="11">
        <f t="shared" ref="AB43:AB66" si="43">IF(X43&lt;1,"",W43*O43/60*6080)</f>
        <v>-72.821022750024795</v>
      </c>
      <c r="AC43" s="11">
        <f t="shared" si="16"/>
        <v>-0.89502242896075823</v>
      </c>
      <c r="AD43" s="11">
        <f t="shared" si="17"/>
        <v>3.556305838905919</v>
      </c>
      <c r="AE43" s="98">
        <f t="shared" si="18"/>
        <v>-1.5622358999576256E-2</v>
      </c>
      <c r="AF43" s="8">
        <f t="shared" ref="AF43:AF66" si="44">IF(X43&lt;1,"",X43^2)</f>
        <v>2.9472699530500699</v>
      </c>
      <c r="AG43" s="9">
        <f t="shared" ref="AG43:AG66" si="45">IF(X43&lt;1,"",(V43-(Q43*$P$13*($P$11+$P$8^2/(PI()*$P$12))))/$P$10)</f>
        <v>-0.14752294654967588</v>
      </c>
      <c r="AH43" s="11">
        <f t="shared" ref="AH43:AH66" si="46">IF(X43&lt;1,"",AG43*O43*6080/60)</f>
        <v>-687.65362818355584</v>
      </c>
    </row>
    <row r="44" spans="1:34" x14ac:dyDescent="0.25">
      <c r="A44" s="1" t="s">
        <v>63</v>
      </c>
      <c r="B44" s="1">
        <f>50/B43*30</f>
        <v>34.090909090909093</v>
      </c>
      <c r="C44" s="1" t="s">
        <v>64</v>
      </c>
      <c r="E44" s="1" t="s">
        <v>73</v>
      </c>
      <c r="F44">
        <v>16</v>
      </c>
      <c r="G44" t="s">
        <v>80</v>
      </c>
      <c r="I44" s="1"/>
      <c r="J44" s="1"/>
      <c r="O44" s="6">
        <f t="shared" si="15"/>
        <v>47</v>
      </c>
      <c r="P44" s="7">
        <f t="shared" si="33"/>
        <v>7.1104387291981846E-2</v>
      </c>
      <c r="Q44" s="8">
        <f t="shared" si="34"/>
        <v>7.4876899943010287</v>
      </c>
      <c r="R44" s="8">
        <f>S44/(0.109*(AR_e/(AR_e+3)))</f>
        <v>4.2639251311932505</v>
      </c>
      <c r="S44" s="9">
        <f t="shared" si="35"/>
        <v>0.30984522620004284</v>
      </c>
      <c r="T44" s="9">
        <f t="shared" si="36"/>
        <v>5.3611019650125095E-2</v>
      </c>
      <c r="U44" s="8">
        <f t="shared" si="37"/>
        <v>2.0071134770925876</v>
      </c>
      <c r="V44" s="8">
        <f t="shared" si="0"/>
        <v>1.7267999999999999</v>
      </c>
      <c r="W44" s="8">
        <f t="shared" si="38"/>
        <v>-2.4164694526359651E-2</v>
      </c>
      <c r="X44" s="10">
        <f t="shared" si="39"/>
        <v>1.7540823739539915</v>
      </c>
      <c r="Y44" s="8">
        <f t="shared" si="40"/>
        <v>5.7795063071388508</v>
      </c>
      <c r="Z44" s="9">
        <f t="shared" si="41"/>
        <v>0.41094825481925262</v>
      </c>
      <c r="AA44" s="11">
        <f t="shared" si="42"/>
        <v>20.205363272618584</v>
      </c>
      <c r="AB44" s="11">
        <f t="shared" si="43"/>
        <v>-115.08838513087557</v>
      </c>
      <c r="AC44" s="11">
        <f t="shared" si="16"/>
        <v>-1.384265612317461</v>
      </c>
      <c r="AD44" s="11">
        <f t="shared" si="17"/>
        <v>2.8796595188757896</v>
      </c>
      <c r="AE44" s="98">
        <f t="shared" si="18"/>
        <v>-2.4164694526359651E-2</v>
      </c>
      <c r="AF44" s="8">
        <f t="shared" si="44"/>
        <v>3.0768049746160702</v>
      </c>
      <c r="AG44" s="9">
        <f t="shared" si="45"/>
        <v>-0.1633390881930897</v>
      </c>
      <c r="AH44" s="11">
        <f t="shared" si="46"/>
        <v>-777.92963070095527</v>
      </c>
    </row>
    <row r="45" spans="1:34" x14ac:dyDescent="0.25">
      <c r="A45" s="1" t="s">
        <v>65</v>
      </c>
      <c r="B45" s="1">
        <f>B44*3</f>
        <v>102.27272727272728</v>
      </c>
      <c r="C45" s="1" t="s">
        <v>64</v>
      </c>
      <c r="E45" s="1" t="s">
        <v>73</v>
      </c>
      <c r="F45">
        <v>80</v>
      </c>
      <c r="G45" t="s">
        <v>64</v>
      </c>
      <c r="I45" s="1"/>
      <c r="J45" s="1"/>
      <c r="O45" s="6">
        <f t="shared" si="15"/>
        <v>48</v>
      </c>
      <c r="P45" s="7">
        <f t="shared" si="33"/>
        <v>7.2617246596066568E-2</v>
      </c>
      <c r="Q45" s="8">
        <f t="shared" si="34"/>
        <v>7.8097047292302264</v>
      </c>
      <c r="R45" s="8">
        <f>S45/(0.109*(AR_e/(AR_e+3)))</f>
        <v>4.0881122460095014</v>
      </c>
      <c r="S45" s="9">
        <f t="shared" si="35"/>
        <v>0.29706948987669041</v>
      </c>
      <c r="T45" s="9">
        <f t="shared" si="36"/>
        <v>5.3199668718801635E-2</v>
      </c>
      <c r="U45" s="8">
        <f t="shared" si="37"/>
        <v>2.0773685219335323</v>
      </c>
      <c r="V45" s="8">
        <f t="shared" si="0"/>
        <v>1.6953999999999998</v>
      </c>
      <c r="W45" s="8">
        <f t="shared" si="38"/>
        <v>-3.292796602911887E-2</v>
      </c>
      <c r="X45" s="10">
        <f t="shared" si="39"/>
        <v>1.7914032755274807</v>
      </c>
      <c r="Y45" s="8">
        <f t="shared" si="40"/>
        <v>5.5840477399758912</v>
      </c>
      <c r="Z45" s="9">
        <f t="shared" si="41"/>
        <v>0.40549817173803748</v>
      </c>
      <c r="AA45" s="11">
        <f t="shared" si="42"/>
        <v>21.205363272618584</v>
      </c>
      <c r="AB45" s="11">
        <f t="shared" si="43"/>
        <v>-160.16162676563417</v>
      </c>
      <c r="AC45" s="11">
        <f t="shared" si="16"/>
        <v>-1.8859520632812086</v>
      </c>
      <c r="AD45" s="11">
        <f t="shared" si="17"/>
        <v>2.2021601827282931</v>
      </c>
      <c r="AE45" s="98">
        <f t="shared" si="18"/>
        <v>-3.292796602911887E-2</v>
      </c>
      <c r="AF45" s="8">
        <f t="shared" si="44"/>
        <v>3.2091256955705867</v>
      </c>
      <c r="AG45" s="9">
        <f t="shared" si="45"/>
        <v>-0.17947237365682775</v>
      </c>
      <c r="AH45" s="11">
        <f t="shared" si="46"/>
        <v>-872.95362546681019</v>
      </c>
    </row>
    <row r="46" spans="1:34" x14ac:dyDescent="0.25">
      <c r="I46" s="1"/>
      <c r="J46" s="1"/>
      <c r="O46" s="6">
        <f t="shared" si="15"/>
        <v>49</v>
      </c>
      <c r="P46" s="7">
        <f t="shared" si="33"/>
        <v>7.4130105900151289E-2</v>
      </c>
      <c r="Q46" s="8">
        <f t="shared" si="34"/>
        <v>8.138498721736882</v>
      </c>
      <c r="R46" s="8">
        <f>S46/(0.109*(AR_e/(AR_e+3)))</f>
        <v>3.9229531923389791</v>
      </c>
      <c r="S46" s="9">
        <f t="shared" si="35"/>
        <v>0.28506793197663244</v>
      </c>
      <c r="T46" s="9">
        <f t="shared" si="36"/>
        <v>5.2829020412642876E-2</v>
      </c>
      <c r="U46" s="8">
        <f t="shared" si="37"/>
        <v>2.1497445754945286</v>
      </c>
      <c r="V46" s="8">
        <f t="shared" si="0"/>
        <v>1.6635999999999997</v>
      </c>
      <c r="W46" s="8">
        <f t="shared" si="38"/>
        <v>-4.1908563527938612E-2</v>
      </c>
      <c r="X46" s="10">
        <f t="shared" si="39"/>
        <v>1.8287241771009699</v>
      </c>
      <c r="Y46" s="8">
        <f t="shared" si="40"/>
        <v>5.396048038558952</v>
      </c>
      <c r="Z46" s="9">
        <f t="shared" si="41"/>
        <v>0.40000961254067874</v>
      </c>
      <c r="AA46" s="11">
        <f t="shared" si="42"/>
        <v>22.205363272618584</v>
      </c>
      <c r="AB46" s="11">
        <f t="shared" si="43"/>
        <v>-208.08998743739122</v>
      </c>
      <c r="AC46" s="11">
        <f t="shared" si="16"/>
        <v>-2.3997795399173527</v>
      </c>
      <c r="AD46" s="11">
        <f t="shared" si="17"/>
        <v>1.5231736524216264</v>
      </c>
      <c r="AE46" s="98">
        <f t="shared" si="18"/>
        <v>-4.1908563527938612E-2</v>
      </c>
      <c r="AF46" s="8">
        <f t="shared" si="44"/>
        <v>3.3442321159136195</v>
      </c>
      <c r="AG46" s="9">
        <f t="shared" si="45"/>
        <v>-0.19592280294088996</v>
      </c>
      <c r="AH46" s="11">
        <f t="shared" si="46"/>
        <v>-972.82202420249894</v>
      </c>
    </row>
    <row r="47" spans="1:34" x14ac:dyDescent="0.25">
      <c r="A47" s="1" t="s">
        <v>66</v>
      </c>
      <c r="B47" s="1">
        <f>J17</f>
        <v>44</v>
      </c>
      <c r="C47" s="1" t="s">
        <v>49</v>
      </c>
      <c r="E47" s="1" t="s">
        <v>73</v>
      </c>
      <c r="F47">
        <f>7*8</f>
        <v>56</v>
      </c>
      <c r="G47" t="s">
        <v>212</v>
      </c>
      <c r="I47" s="1"/>
      <c r="J47" s="1"/>
      <c r="O47" s="6">
        <f t="shared" si="15"/>
        <v>50</v>
      </c>
      <c r="P47" s="7">
        <f t="shared" si="33"/>
        <v>7.564296520423601E-2</v>
      </c>
      <c r="Q47" s="8">
        <f t="shared" si="34"/>
        <v>8.4740719718209938</v>
      </c>
      <c r="R47" s="8">
        <f>S47/(0.109*(AR_e/(AR_e+3)))</f>
        <v>3.7676042459223553</v>
      </c>
      <c r="S47" s="9">
        <f t="shared" si="35"/>
        <v>0.27377924187035779</v>
      </c>
      <c r="T47" s="9">
        <f t="shared" si="36"/>
        <v>5.2494335999461697E-2</v>
      </c>
      <c r="U47" s="8">
        <f t="shared" si="37"/>
        <v>2.2242039068619608</v>
      </c>
      <c r="V47" s="8">
        <f t="shared" si="0"/>
        <v>1.6313999999999997</v>
      </c>
      <c r="W47" s="8">
        <f t="shared" si="38"/>
        <v>-5.1103234392901896E-2</v>
      </c>
      <c r="X47" s="10">
        <f t="shared" si="39"/>
        <v>1.8660450786744591</v>
      </c>
      <c r="Y47" s="8">
        <f t="shared" si="40"/>
        <v>5.2154053700796457</v>
      </c>
      <c r="Z47" s="9">
        <f t="shared" si="41"/>
        <v>0.39450872693492028</v>
      </c>
      <c r="AA47" s="11">
        <f t="shared" si="42"/>
        <v>23.205363272618584</v>
      </c>
      <c r="AB47" s="11">
        <f t="shared" si="43"/>
        <v>-258.92305425736959</v>
      </c>
      <c r="AC47" s="11">
        <f t="shared" si="16"/>
        <v>-2.9254547733346508</v>
      </c>
      <c r="AD47" s="11">
        <f t="shared" si="17"/>
        <v>0.84214947258770456</v>
      </c>
      <c r="AE47" s="98">
        <f t="shared" si="18"/>
        <v>-5.1103234392901896E-2</v>
      </c>
      <c r="AF47" s="8">
        <f t="shared" si="44"/>
        <v>3.4821242356451685</v>
      </c>
      <c r="AG47" s="9">
        <f t="shared" si="45"/>
        <v>-0.21269037604527627</v>
      </c>
      <c r="AH47" s="11">
        <f t="shared" si="46"/>
        <v>-1077.6312386293998</v>
      </c>
    </row>
    <row r="48" spans="1:34" x14ac:dyDescent="0.25">
      <c r="A48" s="1" t="s">
        <v>63</v>
      </c>
      <c r="B48" s="1">
        <f>30*50/B47</f>
        <v>34.090909090909093</v>
      </c>
      <c r="C48" s="1" t="s">
        <v>64</v>
      </c>
      <c r="E48" s="1" t="s">
        <v>73</v>
      </c>
      <c r="F48">
        <v>60</v>
      </c>
      <c r="G48" t="s">
        <v>80</v>
      </c>
      <c r="I48" s="1"/>
      <c r="J48" s="1"/>
      <c r="O48" s="6">
        <f t="shared" si="15"/>
        <v>51</v>
      </c>
      <c r="P48" s="7">
        <f t="shared" si="33"/>
        <v>7.7155824508320731E-2</v>
      </c>
      <c r="Q48" s="8">
        <f t="shared" si="34"/>
        <v>8.8164244794825617</v>
      </c>
      <c r="R48" s="8">
        <f>S48/(0.109*(AR_e/(AR_e+3)))</f>
        <v>3.6213035812402494</v>
      </c>
      <c r="S48" s="9">
        <f t="shared" si="35"/>
        <v>0.26314806023679144</v>
      </c>
      <c r="T48" s="9">
        <f t="shared" si="36"/>
        <v>5.2191508086884754E-2</v>
      </c>
      <c r="U48" s="8">
        <f t="shared" si="37"/>
        <v>2.3007124475916143</v>
      </c>
      <c r="V48" s="8">
        <f t="shared" ref="V48:V68" si="47">$P$9*($G$34*O48^2+$G$35*O48+$G$36)</f>
        <v>1.5987999999999998</v>
      </c>
      <c r="W48" s="8">
        <f t="shared" si="38"/>
        <v>-6.0509041720810307E-2</v>
      </c>
      <c r="X48" s="10">
        <f t="shared" si="39"/>
        <v>1.9033659802479483</v>
      </c>
      <c r="Y48" s="8">
        <f t="shared" si="40"/>
        <v>5.0419708087131925</v>
      </c>
      <c r="Z48" s="9">
        <f t="shared" si="41"/>
        <v>0.389017414893151</v>
      </c>
      <c r="AA48" s="11">
        <f t="shared" si="42"/>
        <v>24.205363272618584</v>
      </c>
      <c r="AB48" s="11">
        <f t="shared" si="43"/>
        <v>-312.71072761314764</v>
      </c>
      <c r="AC48" s="11">
        <f t="shared" si="16"/>
        <v>-3.4626907970052159</v>
      </c>
      <c r="AD48" s="11">
        <f t="shared" si="17"/>
        <v>0.15861278423503355</v>
      </c>
      <c r="AE48" s="98">
        <f t="shared" si="18"/>
        <v>-6.0509041720810307E-2</v>
      </c>
      <c r="AF48" s="8">
        <f t="shared" si="44"/>
        <v>3.6228020547652333</v>
      </c>
      <c r="AG48" s="9">
        <f t="shared" si="45"/>
        <v>-0.22977509296998685</v>
      </c>
      <c r="AH48" s="11">
        <f t="shared" si="46"/>
        <v>-1187.477680468892</v>
      </c>
    </row>
    <row r="49" spans="1:34" x14ac:dyDescent="0.25">
      <c r="A49" s="1" t="s">
        <v>67</v>
      </c>
      <c r="B49" s="1">
        <f>INT(600/B48)</f>
        <v>17</v>
      </c>
      <c r="C49" s="1" t="s">
        <v>68</v>
      </c>
      <c r="E49" s="1" t="s">
        <v>73</v>
      </c>
      <c r="F49">
        <v>23</v>
      </c>
      <c r="G49" t="s">
        <v>68</v>
      </c>
      <c r="I49" s="1"/>
      <c r="J49" s="1"/>
      <c r="O49" s="6">
        <f t="shared" si="15"/>
        <v>52</v>
      </c>
      <c r="P49" s="7">
        <f t="shared" si="33"/>
        <v>7.8668683812405452E-2</v>
      </c>
      <c r="Q49" s="8">
        <f t="shared" si="34"/>
        <v>9.1655562447215857</v>
      </c>
      <c r="R49" s="8">
        <f>S49/(0.109*(AR_e/(AR_e+3)))</f>
        <v>3.4833619137595746</v>
      </c>
      <c r="S49" s="9">
        <f t="shared" si="35"/>
        <v>0.25312429906652906</v>
      </c>
      <c r="T49" s="9">
        <f t="shared" si="36"/>
        <v>5.1916966296616317E-2</v>
      </c>
      <c r="U49" s="8">
        <f t="shared" si="37"/>
        <v>2.3792393732347588</v>
      </c>
      <c r="V49" s="8">
        <f t="shared" si="47"/>
        <v>1.5657999999999999</v>
      </c>
      <c r="W49" s="8">
        <f t="shared" si="38"/>
        <v>-7.0123328260235041E-2</v>
      </c>
      <c r="X49" s="10">
        <f t="shared" si="39"/>
        <v>1.9406868818214376</v>
      </c>
      <c r="Y49" s="8">
        <f t="shared" si="40"/>
        <v>4.8755602864073051</v>
      </c>
      <c r="Z49" s="9">
        <f t="shared" si="41"/>
        <v>0.38355391057969723</v>
      </c>
      <c r="AA49" s="11">
        <f t="shared" si="42"/>
        <v>25.205363272618584</v>
      </c>
      <c r="AB49" s="11">
        <f t="shared" si="43"/>
        <v>-369.50319104593183</v>
      </c>
      <c r="AC49" s="11">
        <f t="shared" si="16"/>
        <v>-4.011204613578732</v>
      </c>
      <c r="AD49" s="11">
        <f t="shared" si="17"/>
        <v>-0.52784269981915743</v>
      </c>
      <c r="AE49" s="98">
        <f t="shared" si="18"/>
        <v>-7.0123328260235041E-2</v>
      </c>
      <c r="AF49" s="8">
        <f t="shared" si="44"/>
        <v>3.7662655732738144</v>
      </c>
      <c r="AG49" s="9">
        <f t="shared" si="45"/>
        <v>-0.24717695371502141</v>
      </c>
      <c r="AH49" s="11">
        <f t="shared" si="46"/>
        <v>-1302.4577614423529</v>
      </c>
    </row>
    <row r="50" spans="1:34" x14ac:dyDescent="0.25">
      <c r="I50" s="1"/>
      <c r="J50" s="1"/>
      <c r="O50" s="6">
        <f t="shared" si="15"/>
        <v>53</v>
      </c>
      <c r="P50" s="7">
        <f t="shared" si="33"/>
        <v>8.0181543116490173E-2</v>
      </c>
      <c r="Q50" s="8">
        <f t="shared" si="34"/>
        <v>9.5214672675380694</v>
      </c>
      <c r="R50" s="8">
        <f>S50/(0.109*(AR_e/(AR_e+3)))</f>
        <v>3.3531543662534311</v>
      </c>
      <c r="S50" s="9">
        <f t="shared" si="35"/>
        <v>0.24366255061441597</v>
      </c>
      <c r="T50" s="9">
        <f t="shared" si="36"/>
        <v>5.1667598501132721E-2</v>
      </c>
      <c r="U50" s="8">
        <f t="shared" si="37"/>
        <v>2.4597567396041713</v>
      </c>
      <c r="V50" s="8">
        <f t="shared" si="47"/>
        <v>1.5323999999999998</v>
      </c>
      <c r="W50" s="8">
        <f t="shared" si="38"/>
        <v>-7.9943685055477567E-2</v>
      </c>
      <c r="X50" s="10">
        <f t="shared" si="39"/>
        <v>1.9780077833949268</v>
      </c>
      <c r="Y50" s="8">
        <f t="shared" si="40"/>
        <v>4.7159643119289569</v>
      </c>
      <c r="Z50" s="9">
        <f t="shared" si="41"/>
        <v>0.37813329581276056</v>
      </c>
      <c r="AA50" s="11">
        <f t="shared" si="42"/>
        <v>26.205363272618584</v>
      </c>
      <c r="AB50" s="11">
        <f t="shared" si="43"/>
        <v>-429.35088453795152</v>
      </c>
      <c r="AC50" s="11">
        <f t="shared" si="16"/>
        <v>-4.5707151558811807</v>
      </c>
      <c r="AD50" s="11">
        <f t="shared" si="17"/>
        <v>-1.2175607896277496</v>
      </c>
      <c r="AE50" s="98">
        <f t="shared" si="18"/>
        <v>-7.9943685055477567E-2</v>
      </c>
      <c r="AF50" s="8">
        <f t="shared" si="44"/>
        <v>3.9125147911709117</v>
      </c>
      <c r="AG50" s="9">
        <f t="shared" si="45"/>
        <v>-0.26489595828038032</v>
      </c>
      <c r="AH50" s="11">
        <f t="shared" si="46"/>
        <v>-1422.6678932711625</v>
      </c>
    </row>
    <row r="51" spans="1:34" x14ac:dyDescent="0.25">
      <c r="A51" s="1" t="s">
        <v>69</v>
      </c>
      <c r="B51" s="1">
        <f>12*V13</f>
        <v>65.726706900619931</v>
      </c>
      <c r="C51" s="1" t="s">
        <v>72</v>
      </c>
      <c r="I51" s="1"/>
      <c r="J51" s="1"/>
      <c r="O51" s="6">
        <f t="shared" si="15"/>
        <v>54</v>
      </c>
      <c r="P51" s="7">
        <f t="shared" si="33"/>
        <v>8.169440242057488E-2</v>
      </c>
      <c r="Q51" s="8">
        <f t="shared" si="34"/>
        <v>9.8841575479320039</v>
      </c>
      <c r="R51" s="8">
        <f>S51/(0.109*(AR_e/(AR_e+3)))</f>
        <v>3.2301133795630634</v>
      </c>
      <c r="S51" s="9">
        <f t="shared" si="35"/>
        <v>0.23472157224824924</v>
      </c>
      <c r="T51" s="9">
        <f t="shared" si="36"/>
        <v>5.1440684821519436E-2</v>
      </c>
      <c r="U51" s="8">
        <f t="shared" si="37"/>
        <v>2.5422391657470627</v>
      </c>
      <c r="V51" s="8">
        <f t="shared" si="47"/>
        <v>1.4985999999999997</v>
      </c>
      <c r="W51" s="8">
        <f t="shared" si="38"/>
        <v>-8.9967924116943834E-2</v>
      </c>
      <c r="X51" s="10">
        <f t="shared" si="39"/>
        <v>2.0153286849684156</v>
      </c>
      <c r="Y51" s="8">
        <f t="shared" si="40"/>
        <v>4.562955821110239</v>
      </c>
      <c r="Z51" s="9">
        <f t="shared" si="41"/>
        <v>0.37276794907708455</v>
      </c>
      <c r="AA51" s="11">
        <f t="shared" si="42"/>
        <v>27.205363272618584</v>
      </c>
      <c r="AB51" s="11">
        <f t="shared" si="43"/>
        <v>-492.30448076791669</v>
      </c>
      <c r="AC51" s="11">
        <f t="shared" si="16"/>
        <v>-5.1409415066140385</v>
      </c>
      <c r="AD51" s="11">
        <f t="shared" si="17"/>
        <v>-1.910828127050975</v>
      </c>
      <c r="AE51" s="98">
        <f t="shared" si="18"/>
        <v>-8.9967924116943834E-2</v>
      </c>
      <c r="AF51" s="8">
        <f t="shared" si="44"/>
        <v>4.0615497084565231</v>
      </c>
      <c r="AG51" s="9">
        <f t="shared" si="45"/>
        <v>-0.28293210666606317</v>
      </c>
      <c r="AH51" s="11">
        <f t="shared" si="46"/>
        <v>-1548.2044876766979</v>
      </c>
    </row>
    <row r="52" spans="1:34" x14ac:dyDescent="0.25">
      <c r="I52" s="1"/>
      <c r="J52" s="1"/>
      <c r="O52" s="6">
        <f t="shared" si="15"/>
        <v>55</v>
      </c>
      <c r="P52" s="7">
        <f t="shared" si="33"/>
        <v>8.3207261724659601E-2</v>
      </c>
      <c r="Q52" s="8">
        <f t="shared" si="34"/>
        <v>10.2536270859034</v>
      </c>
      <c r="R52" s="8">
        <f>S52/(0.109*(AR_e/(AR_e+3)))</f>
        <v>3.1137225172912038</v>
      </c>
      <c r="S52" s="9">
        <f t="shared" si="35"/>
        <v>0.2262638362564941</v>
      </c>
      <c r="T52" s="9">
        <f t="shared" si="36"/>
        <v>5.1233842129977329E-2</v>
      </c>
      <c r="U52" s="8">
        <f t="shared" si="37"/>
        <v>2.6266635568941714</v>
      </c>
      <c r="V52" s="8">
        <f t="shared" si="47"/>
        <v>1.4643999999999999</v>
      </c>
      <c r="W52" s="8">
        <f t="shared" si="38"/>
        <v>-0.10019405453770297</v>
      </c>
      <c r="X52" s="10">
        <f t="shared" si="39"/>
        <v>2.0526495865419045</v>
      </c>
      <c r="Y52" s="8">
        <f t="shared" si="40"/>
        <v>4.4162964722121698</v>
      </c>
      <c r="Z52" s="9">
        <f t="shared" si="41"/>
        <v>0.36746793641704889</v>
      </c>
      <c r="AA52" s="11">
        <f t="shared" si="42"/>
        <v>28.205363272618584</v>
      </c>
      <c r="AB52" s="11">
        <f t="shared" si="43"/>
        <v>-558.41486395679783</v>
      </c>
      <c r="AC52" s="11">
        <f t="shared" si="16"/>
        <v>-5.7216013476477823</v>
      </c>
      <c r="AD52" s="11">
        <f t="shared" si="17"/>
        <v>-2.6078788303565785</v>
      </c>
      <c r="AE52" s="98">
        <f t="shared" si="18"/>
        <v>-0.10019405453770297</v>
      </c>
      <c r="AF52" s="8">
        <f t="shared" si="44"/>
        <v>4.2133703251306516</v>
      </c>
      <c r="AG52" s="9">
        <f t="shared" si="45"/>
        <v>-0.30128539887207023</v>
      </c>
      <c r="AH52" s="11">
        <f t="shared" si="46"/>
        <v>-1679.163956380338</v>
      </c>
    </row>
    <row r="53" spans="1:34" x14ac:dyDescent="0.25">
      <c r="A53" s="1" t="s">
        <v>74</v>
      </c>
      <c r="B53" s="1">
        <v>1</v>
      </c>
      <c r="H53" s="1"/>
      <c r="I53" s="1"/>
      <c r="J53" s="1"/>
      <c r="O53" s="6">
        <f t="shared" si="15"/>
        <v>56</v>
      </c>
      <c r="P53" s="7">
        <f t="shared" si="33"/>
        <v>8.4720121028744322E-2</v>
      </c>
      <c r="Q53" s="8">
        <f t="shared" si="34"/>
        <v>10.629875881452252</v>
      </c>
      <c r="R53" s="8">
        <f>S53/(0.109*(AR_e/(AR_e+3)))</f>
        <v>3.0035110378845316</v>
      </c>
      <c r="S53" s="9">
        <f t="shared" si="35"/>
        <v>0.21825513541960925</v>
      </c>
      <c r="T53" s="9">
        <f t="shared" si="36"/>
        <v>5.1044977231764758E-2</v>
      </c>
      <c r="U53" s="8">
        <f t="shared" si="37"/>
        <v>2.7130088617260779</v>
      </c>
      <c r="V53" s="8">
        <f t="shared" si="47"/>
        <v>1.4297999999999997</v>
      </c>
      <c r="W53" s="8">
        <f t="shared" si="38"/>
        <v>-0.11062026156839502</v>
      </c>
      <c r="X53" s="10">
        <f t="shared" si="39"/>
        <v>2.089970488115394</v>
      </c>
      <c r="Y53" s="8">
        <f t="shared" si="40"/>
        <v>4.2757416548281144</v>
      </c>
      <c r="Z53" s="9">
        <f t="shared" si="41"/>
        <v>0.36224135048468137</v>
      </c>
      <c r="AA53" s="11">
        <f t="shared" si="42"/>
        <v>29.205363272618584</v>
      </c>
      <c r="AB53" s="11">
        <f t="shared" si="43"/>
        <v>-627.73311098011902</v>
      </c>
      <c r="AC53" s="11">
        <f t="shared" si="16"/>
        <v>-6.3124096150057563</v>
      </c>
      <c r="AD53" s="11">
        <f t="shared" si="17"/>
        <v>-3.3088985771212247</v>
      </c>
      <c r="AE53" s="98">
        <f t="shared" si="18"/>
        <v>-0.11062026156839502</v>
      </c>
      <c r="AF53" s="8">
        <f t="shared" si="44"/>
        <v>4.3679766411932981</v>
      </c>
      <c r="AG53" s="9">
        <f t="shared" si="45"/>
        <v>-0.31995583489840157</v>
      </c>
      <c r="AH53" s="11">
        <f t="shared" si="46"/>
        <v>-1815.6427111034625</v>
      </c>
    </row>
    <row r="54" spans="1:34" x14ac:dyDescent="0.25">
      <c r="A54" s="1" t="s">
        <v>75</v>
      </c>
      <c r="B54" s="1">
        <f>2*((B31/B45)/(F44/F45))</f>
        <v>5.0844444444444434</v>
      </c>
      <c r="I54" s="1"/>
      <c r="J54" s="1"/>
      <c r="O54" s="6">
        <f t="shared" si="15"/>
        <v>57</v>
      </c>
      <c r="P54" s="7">
        <f t="shared" si="33"/>
        <v>8.6232980332829043E-2</v>
      </c>
      <c r="Q54" s="8">
        <f t="shared" si="34"/>
        <v>11.012903934578562</v>
      </c>
      <c r="R54" s="8">
        <f>S54/(0.109*(AR_e/(AR_e+3)))</f>
        <v>2.8990491273640786</v>
      </c>
      <c r="S54" s="9">
        <f t="shared" si="35"/>
        <v>0.21066423658845634</v>
      </c>
      <c r="T54" s="9">
        <f t="shared" si="36"/>
        <v>5.0872247244215588E-2</v>
      </c>
      <c r="U54" s="8">
        <f t="shared" si="37"/>
        <v>2.8012558591833763</v>
      </c>
      <c r="V54" s="8">
        <f t="shared" si="47"/>
        <v>1.3947999999999998</v>
      </c>
      <c r="W54" s="8">
        <f t="shared" si="38"/>
        <v>-0.12124488823899542</v>
      </c>
      <c r="X54" s="10">
        <f t="shared" si="39"/>
        <v>2.127291389688883</v>
      </c>
      <c r="Y54" s="8">
        <f t="shared" si="40"/>
        <v>4.1410444397541308</v>
      </c>
      <c r="Z54" s="9">
        <f t="shared" si="41"/>
        <v>0.35709460373068902</v>
      </c>
      <c r="AA54" s="11">
        <f t="shared" si="42"/>
        <v>30.205363272618584</v>
      </c>
      <c r="AB54" s="11">
        <f t="shared" si="43"/>
        <v>-700.31047446843752</v>
      </c>
      <c r="AC54" s="11">
        <f t="shared" si="16"/>
        <v>-6.913077339877713</v>
      </c>
      <c r="AD54" s="11">
        <f t="shared" si="17"/>
        <v>-4.0140282125136348</v>
      </c>
      <c r="AE54" s="98">
        <f t="shared" si="18"/>
        <v>-0.12124488823899542</v>
      </c>
      <c r="AF54" s="8">
        <f t="shared" si="44"/>
        <v>4.5253686566444591</v>
      </c>
      <c r="AG54" s="9">
        <f t="shared" si="45"/>
        <v>-0.33894341474505696</v>
      </c>
      <c r="AH54" s="11">
        <f t="shared" si="46"/>
        <v>-1957.737163567449</v>
      </c>
    </row>
    <row r="55" spans="1:34" x14ac:dyDescent="0.25">
      <c r="A55" s="1" t="s">
        <v>76</v>
      </c>
      <c r="B55" s="1">
        <f>4*((B31*B33*B34*B49)/(F48*F47*F49))</f>
        <v>1.4641821946169773</v>
      </c>
      <c r="I55" s="1"/>
      <c r="J55" s="1"/>
      <c r="O55" s="6">
        <f t="shared" si="15"/>
        <v>58</v>
      </c>
      <c r="P55" s="7">
        <f t="shared" si="33"/>
        <v>8.7745839636913764E-2</v>
      </c>
      <c r="Q55" s="8">
        <f t="shared" si="34"/>
        <v>11.402711245282328</v>
      </c>
      <c r="R55" s="8">
        <f>S55/(0.109*(AR_e/(AR_e+3)))</f>
        <v>2.7999437023798723</v>
      </c>
      <c r="S55" s="9">
        <f t="shared" si="35"/>
        <v>0.20346257570627069</v>
      </c>
      <c r="T55" s="9">
        <f t="shared" si="36"/>
        <v>5.0714025964267058E-2</v>
      </c>
      <c r="U55" s="8">
        <f t="shared" si="37"/>
        <v>2.8913869707814399</v>
      </c>
      <c r="V55" s="8">
        <f t="shared" si="47"/>
        <v>1.3593999999999999</v>
      </c>
      <c r="W55" s="8">
        <f t="shared" si="38"/>
        <v>-0.13206641917922782</v>
      </c>
      <c r="X55" s="10">
        <f t="shared" si="39"/>
        <v>2.1646122912623724</v>
      </c>
      <c r="Y55" s="8">
        <f t="shared" si="40"/>
        <v>4.0119586610936739</v>
      </c>
      <c r="Z55" s="9">
        <f t="shared" si="41"/>
        <v>0.35203268130625276</v>
      </c>
      <c r="AA55" s="11">
        <f t="shared" si="42"/>
        <v>31.205363272618584</v>
      </c>
      <c r="AB55" s="11">
        <f t="shared" si="43"/>
        <v>-776.19836765604828</v>
      </c>
      <c r="AC55" s="11">
        <f t="shared" si="16"/>
        <v>-7.5233106594555457</v>
      </c>
      <c r="AD55" s="11">
        <f t="shared" si="17"/>
        <v>-4.7233669570756733</v>
      </c>
      <c r="AE55" s="98">
        <f t="shared" si="18"/>
        <v>-0.13206641917922782</v>
      </c>
      <c r="AF55" s="8">
        <f t="shared" si="44"/>
        <v>4.6855463714841381</v>
      </c>
      <c r="AG55" s="9">
        <f t="shared" si="45"/>
        <v>-0.35824813841203662</v>
      </c>
      <c r="AH55" s="11">
        <f t="shared" si="46"/>
        <v>-2105.5437254936764</v>
      </c>
    </row>
    <row r="56" spans="1:34" x14ac:dyDescent="0.25">
      <c r="I56" s="1"/>
      <c r="J56" s="1"/>
      <c r="O56" s="6">
        <f t="shared" si="15"/>
        <v>59</v>
      </c>
      <c r="P56" s="7">
        <f t="shared" si="33"/>
        <v>8.9258698940998485E-2</v>
      </c>
      <c r="Q56" s="8">
        <f t="shared" si="34"/>
        <v>11.799297813563552</v>
      </c>
      <c r="R56" s="8">
        <f>S56/(0.109*(AR_e/(AR_e+3)))</f>
        <v>2.70583470692499</v>
      </c>
      <c r="S56" s="9">
        <f t="shared" si="35"/>
        <v>0.1966239887032159</v>
      </c>
      <c r="T56" s="9">
        <f t="shared" si="36"/>
        <v>5.056887523547237E-2</v>
      </c>
      <c r="U56" s="8">
        <f t="shared" si="37"/>
        <v>2.9833860950013857</v>
      </c>
      <c r="V56" s="8">
        <f t="shared" si="47"/>
        <v>1.3235999999999999</v>
      </c>
      <c r="W56" s="8">
        <f t="shared" si="38"/>
        <v>-0.143083466342077</v>
      </c>
      <c r="X56" s="10">
        <f t="shared" si="39"/>
        <v>2.2019331928358614</v>
      </c>
      <c r="Y56" s="8">
        <f t="shared" si="40"/>
        <v>3.8882412904705217</v>
      </c>
      <c r="Z56" s="9">
        <f t="shared" si="41"/>
        <v>0.34705935875606775</v>
      </c>
      <c r="AA56" s="11">
        <f t="shared" si="42"/>
        <v>32.205363272618584</v>
      </c>
      <c r="AB56" s="11">
        <f t="shared" si="43"/>
        <v>-855.44835077049765</v>
      </c>
      <c r="AC56" s="11">
        <f t="shared" si="16"/>
        <v>-8.1428099841842805</v>
      </c>
      <c r="AD56" s="11">
        <f t="shared" si="17"/>
        <v>-5.4369752772592905</v>
      </c>
      <c r="AE56" s="98">
        <f t="shared" si="18"/>
        <v>-0.143083466342077</v>
      </c>
      <c r="AF56" s="8">
        <f t="shared" si="44"/>
        <v>4.8485097857123307</v>
      </c>
      <c r="AG56" s="9">
        <f t="shared" si="45"/>
        <v>-0.37787000589934044</v>
      </c>
      <c r="AH56" s="11">
        <f t="shared" si="46"/>
        <v>-2259.1588086035235</v>
      </c>
    </row>
    <row r="57" spans="1:34" x14ac:dyDescent="0.25">
      <c r="A57" s="1" t="s">
        <v>77</v>
      </c>
      <c r="B57" s="1">
        <f>(B29+B30)*B51</f>
        <v>362.15415502241581</v>
      </c>
      <c r="I57" s="1"/>
      <c r="J57" s="1"/>
      <c r="O57" s="6">
        <f t="shared" si="15"/>
        <v>60</v>
      </c>
      <c r="P57" s="7">
        <f t="shared" si="33"/>
        <v>9.0771558245083206E-2</v>
      </c>
      <c r="Q57" s="8">
        <f t="shared" si="34"/>
        <v>12.202663639422228</v>
      </c>
      <c r="R57" s="8">
        <f>S57/(0.109*(AR_e/(AR_e+3)))</f>
        <v>2.6163918374460806</v>
      </c>
      <c r="S57" s="9">
        <f t="shared" si="35"/>
        <v>0.19012447352108183</v>
      </c>
      <c r="T57" s="9">
        <f t="shared" si="36"/>
        <v>5.0435520502217272E-2</v>
      </c>
      <c r="U57" s="8">
        <f t="shared" si="37"/>
        <v>3.0772384608387049</v>
      </c>
      <c r="V57" s="8">
        <f t="shared" si="47"/>
        <v>1.2873999999999999</v>
      </c>
      <c r="W57" s="8">
        <f t="shared" si="38"/>
        <v>-0.15429475637880671</v>
      </c>
      <c r="X57" s="10">
        <f t="shared" si="39"/>
        <v>2.2392540944093509</v>
      </c>
      <c r="Y57" s="8">
        <f t="shared" si="40"/>
        <v>3.7696542362980767</v>
      </c>
      <c r="Z57" s="9">
        <f t="shared" si="41"/>
        <v>0.34217738907395551</v>
      </c>
      <c r="AA57" s="11">
        <f t="shared" si="42"/>
        <v>33.205363272618584</v>
      </c>
      <c r="AB57" s="11">
        <f t="shared" si="43"/>
        <v>-938.11211878314487</v>
      </c>
      <c r="AC57" s="11">
        <f t="shared" si="16"/>
        <v>-8.7712693102773684</v>
      </c>
      <c r="AD57" s="11">
        <f t="shared" si="17"/>
        <v>-6.1548774728312878</v>
      </c>
      <c r="AE57" s="98">
        <f t="shared" si="18"/>
        <v>-0.15429475637880671</v>
      </c>
      <c r="AF57" s="8">
        <f t="shared" si="44"/>
        <v>5.0142588993290422</v>
      </c>
      <c r="AG57" s="9">
        <f t="shared" si="45"/>
        <v>-0.39780901720696821</v>
      </c>
      <c r="AH57" s="11">
        <f t="shared" si="46"/>
        <v>-2418.6788246183664</v>
      </c>
    </row>
    <row r="58" spans="1:34" x14ac:dyDescent="0.25">
      <c r="A58" s="1" t="s">
        <v>79</v>
      </c>
      <c r="B58" s="1">
        <v>90</v>
      </c>
      <c r="I58" s="1"/>
      <c r="J58" s="1"/>
      <c r="O58" s="6">
        <f t="shared" si="15"/>
        <v>61</v>
      </c>
      <c r="P58" s="7">
        <f t="shared" si="33"/>
        <v>9.2284417549167927E-2</v>
      </c>
      <c r="Q58" s="8">
        <f t="shared" si="34"/>
        <v>12.612808722858366</v>
      </c>
      <c r="R58" s="8">
        <f>S58/(0.109*(AR_e/(AR_e+3)))</f>
        <v>2.5313116406358209</v>
      </c>
      <c r="S58" s="9">
        <f t="shared" si="35"/>
        <v>0.18394197921953631</v>
      </c>
      <c r="T58" s="9">
        <f t="shared" si="36"/>
        <v>5.0312829881701084E-2</v>
      </c>
      <c r="U58" s="8">
        <f t="shared" si="37"/>
        <v>3.1729304980180424</v>
      </c>
      <c r="V58" s="8">
        <f t="shared" si="47"/>
        <v>1.2507999999999999</v>
      </c>
      <c r="W58" s="8">
        <f t="shared" si="38"/>
        <v>-0.16569911945069926</v>
      </c>
      <c r="X58" s="10">
        <f t="shared" si="39"/>
        <v>2.2765749959828399</v>
      </c>
      <c r="Y58" s="8">
        <f t="shared" si="40"/>
        <v>3.6559656781785699</v>
      </c>
      <c r="Z58" s="9">
        <f t="shared" si="41"/>
        <v>0.33738866319045802</v>
      </c>
      <c r="AA58" s="11">
        <f t="shared" si="42"/>
        <v>34.205363272618584</v>
      </c>
      <c r="AB58" s="11">
        <f t="shared" si="43"/>
        <v>-1024.2414903645888</v>
      </c>
      <c r="AC58" s="11">
        <f t="shared" si="16"/>
        <v>-9.4083756681452204</v>
      </c>
      <c r="AD58" s="11">
        <f t="shared" si="17"/>
        <v>-6.8770640275093999</v>
      </c>
      <c r="AE58" s="98">
        <f t="shared" si="18"/>
        <v>-0.16569911945069926</v>
      </c>
      <c r="AF58" s="8">
        <f t="shared" si="44"/>
        <v>5.1827937123342673</v>
      </c>
      <c r="AG58" s="9">
        <f t="shared" si="45"/>
        <v>-0.41806517233492041</v>
      </c>
      <c r="AH58" s="11">
        <f t="shared" si="46"/>
        <v>-2584.2001852595881</v>
      </c>
    </row>
    <row r="59" spans="1:34" x14ac:dyDescent="0.25">
      <c r="A59" s="1" t="s">
        <v>78</v>
      </c>
      <c r="B59" s="1">
        <f>B58*(B55+B54+B53)/B57*penalty</f>
        <v>0.15007452226491286</v>
      </c>
      <c r="I59" s="1"/>
      <c r="J59" s="1"/>
      <c r="O59" s="6">
        <f t="shared" si="15"/>
        <v>62</v>
      </c>
      <c r="P59" s="7">
        <f t="shared" si="33"/>
        <v>9.3797276853252648E-2</v>
      </c>
      <c r="Q59" s="8">
        <f t="shared" si="34"/>
        <v>13.029733063871957</v>
      </c>
      <c r="R59" s="8">
        <f>S59/(0.109*(AR_e/(AR_e+3)))</f>
        <v>2.4503149362138115</v>
      </c>
      <c r="S59" s="9">
        <f t="shared" si="35"/>
        <v>0.17805621869820359</v>
      </c>
      <c r="T59" s="9">
        <f t="shared" si="36"/>
        <v>5.019979620011375E-2</v>
      </c>
      <c r="U59" s="8">
        <f t="shared" si="37"/>
        <v>3.2704497217412798</v>
      </c>
      <c r="V59" s="8">
        <f t="shared" si="47"/>
        <v>1.2138</v>
      </c>
      <c r="W59" s="8">
        <f t="shared" si="38"/>
        <v>-0.17729547929365244</v>
      </c>
      <c r="X59" s="10">
        <f t="shared" si="39"/>
        <v>2.3138958975563293</v>
      </c>
      <c r="Y59" s="8">
        <f t="shared" si="40"/>
        <v>3.5469510272195115</v>
      </c>
      <c r="Z59" s="9">
        <f t="shared" si="41"/>
        <v>0.3326943474850374</v>
      </c>
      <c r="AA59" s="11">
        <f t="shared" si="42"/>
        <v>35.205363272618584</v>
      </c>
      <c r="AB59" s="11">
        <f t="shared" si="43"/>
        <v>-1113.8883979089203</v>
      </c>
      <c r="AC59" s="11">
        <f t="shared" si="16"/>
        <v>-10.053808698801156</v>
      </c>
      <c r="AD59" s="11">
        <f t="shared" si="17"/>
        <v>-7.6034937625873447</v>
      </c>
      <c r="AE59" s="98">
        <f t="shared" si="18"/>
        <v>-0.17729547929365244</v>
      </c>
      <c r="AF59" s="8">
        <f t="shared" si="44"/>
        <v>5.3541142247280105</v>
      </c>
      <c r="AG59" s="9">
        <f t="shared" si="45"/>
        <v>-0.4386384712831965</v>
      </c>
      <c r="AH59" s="11">
        <f t="shared" si="46"/>
        <v>-2755.8193022485625</v>
      </c>
    </row>
    <row r="60" spans="1:34" x14ac:dyDescent="0.25">
      <c r="I60" s="1"/>
      <c r="J60" s="1"/>
      <c r="O60" s="6">
        <f t="shared" si="15"/>
        <v>63</v>
      </c>
      <c r="P60" s="7">
        <f t="shared" si="33"/>
        <v>9.5310136157337369E-2</v>
      </c>
      <c r="Q60" s="8">
        <f t="shared" si="34"/>
        <v>13.453436662463009</v>
      </c>
      <c r="R60" s="8">
        <f>S60/(0.109*(AR_e/(AR_e+3)))</f>
        <v>2.3731445237606175</v>
      </c>
      <c r="S60" s="9">
        <f t="shared" si="35"/>
        <v>0.17244850205993817</v>
      </c>
      <c r="T60" s="9">
        <f t="shared" si="36"/>
        <v>5.0095521533773203E-2</v>
      </c>
      <c r="U60" s="8">
        <f t="shared" si="37"/>
        <v>3.3697846301383478</v>
      </c>
      <c r="V60" s="8">
        <f t="shared" si="47"/>
        <v>1.1763999999999997</v>
      </c>
      <c r="W60" s="8">
        <f t="shared" si="38"/>
        <v>-0.18908284437782769</v>
      </c>
      <c r="X60" s="10">
        <f t="shared" si="39"/>
        <v>2.3512167991298183</v>
      </c>
      <c r="Y60" s="8">
        <f t="shared" si="40"/>
        <v>3.4423935868933415</v>
      </c>
      <c r="Z60" s="9">
        <f t="shared" si="41"/>
        <v>0.32809500147394932</v>
      </c>
      <c r="AA60" s="11">
        <f t="shared" si="42"/>
        <v>36.205363272618584</v>
      </c>
      <c r="AB60" s="11">
        <f t="shared" si="43"/>
        <v>-1207.104878508052</v>
      </c>
      <c r="AC60" s="11">
        <f t="shared" si="16"/>
        <v>-10.707240351399005</v>
      </c>
      <c r="AD60" s="11">
        <f t="shared" si="17"/>
        <v>-8.3340958276383876</v>
      </c>
      <c r="AE60" s="98">
        <f t="shared" si="18"/>
        <v>-0.18908284437782769</v>
      </c>
      <c r="AF60" s="8">
        <f t="shared" si="44"/>
        <v>5.5282204365102681</v>
      </c>
      <c r="AG60" s="9">
        <f t="shared" si="45"/>
        <v>-0.45952891405179697</v>
      </c>
      <c r="AH60" s="11">
        <f t="shared" si="46"/>
        <v>-2933.6325873066717</v>
      </c>
    </row>
    <row r="61" spans="1:34" x14ac:dyDescent="0.25">
      <c r="I61" s="1"/>
      <c r="J61" s="1"/>
      <c r="O61" s="6">
        <f t="shared" si="15"/>
        <v>64</v>
      </c>
      <c r="P61" s="7">
        <f t="shared" si="33"/>
        <v>9.682299546142209E-2</v>
      </c>
      <c r="Q61" s="8">
        <f t="shared" si="34"/>
        <v>13.883919518631515</v>
      </c>
      <c r="R61" s="8">
        <f>S61/(0.109*(AR_e/(AR_e+3)))</f>
        <v>2.2995631383803441</v>
      </c>
      <c r="S61" s="9">
        <f t="shared" si="35"/>
        <v>0.16710158805563832</v>
      </c>
      <c r="T61" s="9">
        <f t="shared" si="36"/>
        <v>4.9999203873051783E-2</v>
      </c>
      <c r="U61" s="8">
        <f t="shared" si="37"/>
        <v>3.4709246128455007</v>
      </c>
      <c r="V61" s="8">
        <f t="shared" si="47"/>
        <v>1.1385999999999998</v>
      </c>
      <c r="W61" s="8">
        <f t="shared" si="38"/>
        <v>-0.20106030002655154</v>
      </c>
      <c r="X61" s="10">
        <f t="shared" si="39"/>
        <v>2.3885377007033077</v>
      </c>
      <c r="Y61" s="8">
        <f t="shared" si="40"/>
        <v>3.3420849755910123</v>
      </c>
      <c r="Z61" s="9">
        <f t="shared" si="41"/>
        <v>0.32359067842333555</v>
      </c>
      <c r="AA61" s="11">
        <f t="shared" si="42"/>
        <v>37.205363272618584</v>
      </c>
      <c r="AB61" s="11">
        <f t="shared" si="43"/>
        <v>-1303.9430657721955</v>
      </c>
      <c r="AC61" s="11">
        <f t="shared" si="16"/>
        <v>-11.368334695869864</v>
      </c>
      <c r="AD61" s="11">
        <f t="shared" si="17"/>
        <v>-9.0687715574895194</v>
      </c>
      <c r="AE61" s="98">
        <f t="shared" si="18"/>
        <v>-0.20106030002655154</v>
      </c>
      <c r="AF61" s="8">
        <f t="shared" si="44"/>
        <v>5.7051123476810437</v>
      </c>
      <c r="AG61" s="9">
        <f t="shared" si="45"/>
        <v>-0.48073650064072154</v>
      </c>
      <c r="AH61" s="11">
        <f t="shared" si="46"/>
        <v>-3117.7364521552931</v>
      </c>
    </row>
    <row r="62" spans="1:34" x14ac:dyDescent="0.25">
      <c r="I62" s="1"/>
      <c r="J62" s="1"/>
      <c r="O62" s="6">
        <f t="shared" si="15"/>
        <v>65</v>
      </c>
      <c r="P62" s="7">
        <f t="shared" si="33"/>
        <v>9.8335854765506811E-2</v>
      </c>
      <c r="Q62" s="8">
        <f t="shared" si="34"/>
        <v>14.321181632377479</v>
      </c>
      <c r="R62" s="8">
        <f>S62/(0.109*(AR_e/(AR_e+3)))</f>
        <v>2.2293516248061276</v>
      </c>
      <c r="S62" s="9">
        <f t="shared" si="35"/>
        <v>0.16199955140257857</v>
      </c>
      <c r="T62" s="9">
        <f t="shared" si="36"/>
        <v>4.9910125590090171E-2</v>
      </c>
      <c r="U62" s="8">
        <f t="shared" si="37"/>
        <v>3.5738598693522627</v>
      </c>
      <c r="V62" s="8">
        <f t="shared" si="47"/>
        <v>1.1003999999999998</v>
      </c>
      <c r="W62" s="8">
        <f t="shared" si="38"/>
        <v>-0.21322700137733547</v>
      </c>
      <c r="X62" s="10">
        <f t="shared" si="39"/>
        <v>2.4258586022767967</v>
      </c>
      <c r="Y62" s="8">
        <f t="shared" si="40"/>
        <v>3.2458253608310725</v>
      </c>
      <c r="Z62" s="9">
        <f t="shared" si="41"/>
        <v>0.31918101127688309</v>
      </c>
      <c r="AA62" s="11">
        <f t="shared" si="42"/>
        <v>38.205363272618584</v>
      </c>
      <c r="AB62" s="11">
        <f t="shared" si="43"/>
        <v>-1404.4551824053831</v>
      </c>
      <c r="AC62" s="11">
        <f t="shared" si="16"/>
        <v>-12.036747845204843</v>
      </c>
      <c r="AD62" s="11">
        <f t="shared" si="17"/>
        <v>-9.8073962203987151</v>
      </c>
      <c r="AE62" s="98">
        <f t="shared" si="18"/>
        <v>-0.21322700137733547</v>
      </c>
      <c r="AF62" s="8">
        <f t="shared" si="44"/>
        <v>5.8847899582403338</v>
      </c>
      <c r="AG62" s="9">
        <f t="shared" si="45"/>
        <v>-0.50226123104997034</v>
      </c>
      <c r="AH62" s="11">
        <f t="shared" si="46"/>
        <v>-3308.2273085158045</v>
      </c>
    </row>
    <row r="63" spans="1:34" x14ac:dyDescent="0.25">
      <c r="I63" s="1"/>
      <c r="J63" s="1"/>
      <c r="O63" s="6">
        <f t="shared" si="15"/>
        <v>66</v>
      </c>
      <c r="P63" s="7">
        <f t="shared" si="33"/>
        <v>9.9848714069591532E-2</v>
      </c>
      <c r="Q63" s="8">
        <f t="shared" si="34"/>
        <v>14.765223003700898</v>
      </c>
      <c r="R63" s="8">
        <f>S63/(0.109*(AR_e/(AR_e+3)))</f>
        <v>2.1623073036744467</v>
      </c>
      <c r="S63" s="9">
        <f t="shared" si="35"/>
        <v>0.15712766406700979</v>
      </c>
      <c r="T63" s="9">
        <f t="shared" si="36"/>
        <v>4.9827643443245265E-2</v>
      </c>
      <c r="U63" s="8">
        <f t="shared" si="37"/>
        <v>3.6785813359420558</v>
      </c>
      <c r="V63" s="8">
        <f t="shared" si="47"/>
        <v>1.0617999999999999</v>
      </c>
      <c r="W63" s="8">
        <f t="shared" si="38"/>
        <v>-0.22558216708372161</v>
      </c>
      <c r="X63" s="10">
        <f t="shared" si="39"/>
        <v>2.4631795038502862</v>
      </c>
      <c r="Y63" s="8">
        <f t="shared" si="40"/>
        <v>3.1534235458271573</v>
      </c>
      <c r="Z63" s="9">
        <f t="shared" si="41"/>
        <v>0.31486528596761332</v>
      </c>
      <c r="AA63" s="11">
        <f t="shared" si="42"/>
        <v>39.205363272618584</v>
      </c>
      <c r="AB63" s="11">
        <f t="shared" si="43"/>
        <v>-1508.69353345593</v>
      </c>
      <c r="AC63" s="11">
        <f t="shared" si="16"/>
        <v>-12.712127982309982</v>
      </c>
      <c r="AD63" s="11">
        <f t="shared" si="17"/>
        <v>-10.549820678635534</v>
      </c>
      <c r="AE63" s="98">
        <f t="shared" si="18"/>
        <v>-0.22558216708372161</v>
      </c>
      <c r="AF63" s="8">
        <f t="shared" si="44"/>
        <v>6.0672532681881419</v>
      </c>
      <c r="AG63" s="9">
        <f t="shared" si="45"/>
        <v>-0.52410310527954307</v>
      </c>
      <c r="AH63" s="11">
        <f t="shared" si="46"/>
        <v>-3505.2015681095845</v>
      </c>
    </row>
    <row r="64" spans="1:34" x14ac:dyDescent="0.25">
      <c r="I64" s="1"/>
      <c r="J64" s="1"/>
      <c r="O64" s="6">
        <f t="shared" si="15"/>
        <v>67</v>
      </c>
      <c r="P64" s="7">
        <f t="shared" si="33"/>
        <v>0.10136157337367625</v>
      </c>
      <c r="Q64" s="8">
        <f t="shared" si="34"/>
        <v>15.216043632601776</v>
      </c>
      <c r="R64" s="8">
        <f>S64/(0.109*(AR_e/(AR_e+3)))</f>
        <v>2.0982425071966784</v>
      </c>
      <c r="S64" s="9">
        <f t="shared" si="35"/>
        <v>0.15247228885629194</v>
      </c>
      <c r="T64" s="9">
        <f t="shared" si="36"/>
        <v>4.9751179894073176E-2</v>
      </c>
      <c r="U64" s="8">
        <f t="shared" si="37"/>
        <v>3.7850806202081881</v>
      </c>
      <c r="V64" s="8">
        <f t="shared" si="47"/>
        <v>1.0227999999999997</v>
      </c>
      <c r="W64" s="8">
        <f t="shared" si="38"/>
        <v>-0.23812507367017069</v>
      </c>
      <c r="X64" s="10">
        <f t="shared" si="39"/>
        <v>2.5005004054237752</v>
      </c>
      <c r="Y64" s="8">
        <f t="shared" si="40"/>
        <v>3.0646969414780827</v>
      </c>
      <c r="Z64" s="9">
        <f t="shared" si="41"/>
        <v>0.31064250390171189</v>
      </c>
      <c r="AA64" s="11">
        <f t="shared" si="42"/>
        <v>40.205363272618584</v>
      </c>
      <c r="AB64" s="11">
        <f t="shared" si="43"/>
        <v>-1616.7105001713453</v>
      </c>
      <c r="AC64" s="11">
        <f t="shared" si="16"/>
        <v>-13.394115486571929</v>
      </c>
      <c r="AD64" s="11">
        <f t="shared" si="17"/>
        <v>-11.29587297937525</v>
      </c>
      <c r="AE64" s="98">
        <f t="shared" si="18"/>
        <v>-0.23812507367017069</v>
      </c>
      <c r="AF64" s="8">
        <f t="shared" si="44"/>
        <v>6.2525022775244636</v>
      </c>
      <c r="AG64" s="9">
        <f t="shared" si="45"/>
        <v>-0.54626212332944013</v>
      </c>
      <c r="AH64" s="11">
        <f t="shared" si="46"/>
        <v>-3708.7556426580118</v>
      </c>
    </row>
    <row r="65" spans="9:34" x14ac:dyDescent="0.25">
      <c r="I65" s="1"/>
      <c r="J65" s="1"/>
      <c r="O65" s="6">
        <f t="shared" si="15"/>
        <v>68</v>
      </c>
      <c r="P65" s="7">
        <f t="shared" si="33"/>
        <v>0.10287443267776097</v>
      </c>
      <c r="Q65" s="8">
        <f t="shared" si="34"/>
        <v>15.673643519080109</v>
      </c>
      <c r="R65" s="8">
        <f>S65/(0.109*(AR_e/(AR_e+3)))</f>
        <v>2.0369832644476404</v>
      </c>
      <c r="S65" s="9">
        <f t="shared" si="35"/>
        <v>0.1480207838831952</v>
      </c>
      <c r="T65" s="9">
        <f t="shared" si="36"/>
        <v>4.9680215548109329E-2</v>
      </c>
      <c r="U65" s="8">
        <f t="shared" si="37"/>
        <v>3.8933499422606332</v>
      </c>
      <c r="V65" s="8">
        <f t="shared" si="47"/>
        <v>0.98339999999999983</v>
      </c>
      <c r="W65" s="8">
        <f t="shared" si="38"/>
        <v>-0.25085505046373496</v>
      </c>
      <c r="X65" s="10">
        <f t="shared" si="39"/>
        <v>2.5378213069972642</v>
      </c>
      <c r="Y65" s="8">
        <f t="shared" si="40"/>
        <v>2.9794714505587203</v>
      </c>
      <c r="Z65" s="9">
        <f t="shared" si="41"/>
        <v>0.30651143515581392</v>
      </c>
      <c r="AA65" s="11">
        <f t="shared" si="42"/>
        <v>41.205363272618584</v>
      </c>
      <c r="AB65" s="11">
        <f t="shared" si="43"/>
        <v>-1728.5585343954428</v>
      </c>
      <c r="AC65" s="11">
        <f t="shared" si="16"/>
        <v>-14.082343155344141</v>
      </c>
      <c r="AD65" s="11">
        <f t="shared" si="17"/>
        <v>-12.045359890896501</v>
      </c>
      <c r="AE65" s="98">
        <f t="shared" si="18"/>
        <v>-0.25085505046373496</v>
      </c>
      <c r="AF65" s="8">
        <f t="shared" si="44"/>
        <v>6.4405369862493025</v>
      </c>
      <c r="AG65" s="9">
        <f t="shared" si="45"/>
        <v>-0.56873828519966141</v>
      </c>
      <c r="AH65" s="11">
        <f t="shared" si="46"/>
        <v>-3918.9859438824665</v>
      </c>
    </row>
    <row r="66" spans="9:34" x14ac:dyDescent="0.25">
      <c r="I66" s="1"/>
      <c r="J66" s="1"/>
      <c r="O66" s="6">
        <f t="shared" si="15"/>
        <v>69</v>
      </c>
      <c r="P66" s="7">
        <f t="shared" si="33"/>
        <v>0.1043872919818457</v>
      </c>
      <c r="Q66" s="8">
        <f t="shared" si="34"/>
        <v>16.138022663135899</v>
      </c>
      <c r="R66" s="8">
        <f>S66/(0.109*(AR_e/(AR_e+3)))</f>
        <v>1.9783681190518567</v>
      </c>
      <c r="S66" s="9">
        <f t="shared" si="35"/>
        <v>0.14376141665110156</v>
      </c>
      <c r="T66" s="9">
        <f t="shared" si="36"/>
        <v>4.9614282560136717E-2</v>
      </c>
      <c r="U66" s="8">
        <f t="shared" si="37"/>
        <v>4.003382081853573</v>
      </c>
      <c r="V66" s="8">
        <f t="shared" si="47"/>
        <v>0.94359999999999999</v>
      </c>
      <c r="W66" s="8">
        <f t="shared" si="38"/>
        <v>-0.2637714750361374</v>
      </c>
      <c r="X66" s="10">
        <f t="shared" si="39"/>
        <v>2.5751422085707536</v>
      </c>
      <c r="Y66" s="8">
        <f t="shared" si="40"/>
        <v>2.8975812857285708</v>
      </c>
      <c r="Z66" s="9">
        <f t="shared" si="41"/>
        <v>0.30247066371448017</v>
      </c>
      <c r="AA66" s="11">
        <f t="shared" si="42"/>
        <v>42.205363272618584</v>
      </c>
      <c r="AB66" s="11">
        <f t="shared" si="43"/>
        <v>-1844.2901534526729</v>
      </c>
      <c r="AC66" s="11">
        <f t="shared" si="16"/>
        <v>-14.776436515520139</v>
      </c>
      <c r="AD66" s="11">
        <f t="shared" si="17"/>
        <v>-12.798068396468283</v>
      </c>
      <c r="AE66" s="98">
        <f t="shared" si="18"/>
        <v>-0.2637714750361374</v>
      </c>
      <c r="AF66" s="8">
        <f t="shared" si="44"/>
        <v>6.6313573943626585</v>
      </c>
      <c r="AG66" s="9">
        <f t="shared" si="45"/>
        <v>-0.59153159089020657</v>
      </c>
      <c r="AH66" s="11">
        <f t="shared" si="46"/>
        <v>-4135.9888835043239</v>
      </c>
    </row>
    <row r="67" spans="9:34" x14ac:dyDescent="0.25">
      <c r="I67" s="1"/>
      <c r="J67" s="1"/>
      <c r="O67" s="6">
        <f t="shared" si="15"/>
        <v>70</v>
      </c>
      <c r="P67" s="7">
        <f t="shared" si="13"/>
        <v>0.1059001512859304</v>
      </c>
      <c r="Q67" s="8">
        <f t="shared" si="14"/>
        <v>16.609181064769146</v>
      </c>
      <c r="R67" s="8">
        <f>S67/(0.109*(AR_e/(AR_e+3)))</f>
        <v>1.9222470642461003</v>
      </c>
      <c r="S67" s="9">
        <f t="shared" si="4"/>
        <v>0.13968328666854993</v>
      </c>
      <c r="T67" s="9">
        <f t="shared" si="5"/>
        <v>4.9552958869126973E-2</v>
      </c>
      <c r="U67" s="8">
        <f t="shared" si="6"/>
        <v>4.1151703307619405</v>
      </c>
      <c r="V67" s="8">
        <f t="shared" si="47"/>
        <v>0.90339999999999976</v>
      </c>
      <c r="W67" s="8">
        <f t="shared" si="7"/>
        <v>-0.27687376909834516</v>
      </c>
      <c r="X67" s="10">
        <f t="shared" si="8"/>
        <v>2.6124631101442426</v>
      </c>
      <c r="Y67" s="8">
        <f t="shared" si="9"/>
        <v>2.8188687387460316</v>
      </c>
      <c r="Z67" s="9">
        <f t="shared" si="10"/>
        <v>0.29851862588838457</v>
      </c>
      <c r="AA67" s="11">
        <f t="shared" si="11"/>
        <v>43.205363272618584</v>
      </c>
      <c r="AB67" s="11">
        <f t="shared" si="12"/>
        <v>-1963.9579354709285</v>
      </c>
      <c r="AC67" s="11">
        <f t="shared" si="16"/>
        <v>-15.476014220223581</v>
      </c>
      <c r="AD67" s="11">
        <f t="shared" si="17"/>
        <v>-13.55376715597748</v>
      </c>
      <c r="AE67" s="98">
        <f t="shared" si="18"/>
        <v>-0.27687376909834516</v>
      </c>
      <c r="AF67" s="8">
        <f t="shared" si="1"/>
        <v>6.8249635018645289</v>
      </c>
      <c r="AG67" s="9">
        <f t="shared" si="2"/>
        <v>-0.61464204040107606</v>
      </c>
      <c r="AH67" s="11">
        <f t="shared" si="3"/>
        <v>-4359.8608732449666</v>
      </c>
    </row>
    <row r="68" spans="9:34" x14ac:dyDescent="0.25">
      <c r="I68" s="1"/>
      <c r="J68" s="1"/>
      <c r="O68" s="6">
        <f t="shared" si="15"/>
        <v>71</v>
      </c>
      <c r="P68" s="7">
        <f t="shared" si="13"/>
        <v>0.10741301059001512</v>
      </c>
      <c r="Q68" s="8">
        <f t="shared" si="14"/>
        <v>17.087118723979849</v>
      </c>
      <c r="R68" s="8">
        <f>S68/(0.109*(AR_e/(AR_e+3)))</f>
        <v>1.868480582187243</v>
      </c>
      <c r="S68" s="9">
        <f t="shared" si="4"/>
        <v>0.13577625563893964</v>
      </c>
      <c r="T68" s="9">
        <f t="shared" si="5"/>
        <v>4.9495863148480958E-2</v>
      </c>
      <c r="U68" s="8">
        <f t="shared" si="6"/>
        <v>4.2287084498197656</v>
      </c>
      <c r="V68" s="8">
        <f t="shared" si="47"/>
        <v>0.86280000000000001</v>
      </c>
      <c r="W68" s="8">
        <f t="shared" si="7"/>
        <v>-0.29016139479701863</v>
      </c>
      <c r="X68" s="10">
        <f t="shared" si="8"/>
        <v>2.6497840117177316</v>
      </c>
      <c r="Y68" s="8">
        <f t="shared" si="9"/>
        <v>2.7431839148178718</v>
      </c>
      <c r="Z68" s="9">
        <f t="shared" si="10"/>
        <v>0.29465364289269119</v>
      </c>
      <c r="AA68" s="11">
        <f t="shared" si="11"/>
        <v>44.205363272618584</v>
      </c>
      <c r="AB68" s="11">
        <f t="shared" si="12"/>
        <v>-2087.6145150996167</v>
      </c>
      <c r="AC68" s="11">
        <f t="shared" si="16"/>
        <v>-16.180688525437443</v>
      </c>
      <c r="AD68" s="11">
        <f t="shared" si="17"/>
        <v>-14.312207943250201</v>
      </c>
      <c r="AE68" s="98">
        <f t="shared" si="18"/>
        <v>-0.29016139479701863</v>
      </c>
      <c r="AF68" s="8">
        <f t="shared" si="1"/>
        <v>7.0213553087549156</v>
      </c>
      <c r="AG68" s="9">
        <f t="shared" si="2"/>
        <v>-0.63806963373226955</v>
      </c>
      <c r="AH68" s="11">
        <f t="shared" si="3"/>
        <v>-4590.6983248257693</v>
      </c>
    </row>
    <row r="69" spans="9:34" x14ac:dyDescent="0.25">
      <c r="I69" s="1"/>
      <c r="J69" s="1"/>
    </row>
    <row r="70" spans="9:34" x14ac:dyDescent="0.25">
      <c r="I70" s="1"/>
      <c r="J70" s="1"/>
    </row>
    <row r="71" spans="9:34" ht="15.75" thickBot="1" x14ac:dyDescent="0.3">
      <c r="I71" s="1"/>
      <c r="J71" s="1"/>
    </row>
    <row r="72" spans="9:34" x14ac:dyDescent="0.25">
      <c r="I72" s="1"/>
      <c r="J72" s="1"/>
      <c r="O72" s="23"/>
      <c r="P72" s="24" t="s">
        <v>20</v>
      </c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5"/>
      <c r="AC72" s="96"/>
      <c r="AD72" s="96"/>
      <c r="AE72" s="96"/>
    </row>
    <row r="73" spans="9:34" x14ac:dyDescent="0.25">
      <c r="I73" s="1"/>
      <c r="J73" s="1"/>
      <c r="O73" s="26" t="s">
        <v>26</v>
      </c>
      <c r="P73" s="21" t="s">
        <v>27</v>
      </c>
      <c r="Q73" s="21" t="s">
        <v>4</v>
      </c>
      <c r="R73" s="21"/>
      <c r="S73" s="21" t="s">
        <v>5</v>
      </c>
      <c r="T73" s="21" t="s">
        <v>6</v>
      </c>
      <c r="U73" s="21" t="s">
        <v>10</v>
      </c>
      <c r="V73" s="21" t="s">
        <v>30</v>
      </c>
      <c r="W73" s="21" t="s">
        <v>21</v>
      </c>
      <c r="X73" s="21" t="s">
        <v>0</v>
      </c>
      <c r="Y73" s="21" t="s">
        <v>13</v>
      </c>
      <c r="Z73" s="21" t="s">
        <v>22</v>
      </c>
      <c r="AA73" s="21" t="s">
        <v>1</v>
      </c>
      <c r="AB73" s="27" t="s">
        <v>28</v>
      </c>
      <c r="AC73" s="96"/>
      <c r="AD73" s="96"/>
      <c r="AE73" s="96"/>
    </row>
    <row r="74" spans="9:34" x14ac:dyDescent="0.25">
      <c r="I74" s="1"/>
      <c r="J74" s="1"/>
      <c r="O74" s="12">
        <v>0</v>
      </c>
      <c r="P74" s="11">
        <v>0.1</v>
      </c>
      <c r="Q74" s="7">
        <f t="shared" ref="Q74:Q79" si="48">AA74/661</f>
        <v>3.0346763277331001E-2</v>
      </c>
      <c r="R74" s="7"/>
      <c r="S74" s="8">
        <f t="shared" ref="S74" si="49">1481*Q74^2</f>
        <v>1.363891467328751</v>
      </c>
      <c r="T74" s="6">
        <f>$V$11</f>
        <v>0</v>
      </c>
      <c r="U74" s="7">
        <f t="shared" ref="U74:U99" si="50">IF(T74&lt;$P$8,T74^2/(PI()*$P$12)+$P$11,99.999)</f>
        <v>4.8517845858733276E-2</v>
      </c>
      <c r="V74" s="22">
        <f>T74*S74*$P$13</f>
        <v>0</v>
      </c>
      <c r="W74" s="8">
        <f>IF(U74="","",S74*U74*$P$13+$V$12*($P$10-V74))</f>
        <v>0.91087162989948944</v>
      </c>
      <c r="X74" s="8">
        <f t="shared" ref="X74:X105" si="51">$P$9*($G$34*AA74^2+$G$35*AA74+$G$36)</f>
        <v>2.4221914040858725</v>
      </c>
      <c r="Y74" s="9">
        <f>IF(U74="","",(X74-W74)/$P$10)</f>
        <v>0.13028478349900396</v>
      </c>
      <c r="Z74" s="10">
        <f>Q74/$V$9</f>
        <v>0.74862782169452968</v>
      </c>
      <c r="AA74" s="8">
        <f>P74*3600/6080+$P$14</f>
        <v>20.059210526315791</v>
      </c>
      <c r="AB74" s="13">
        <v>0</v>
      </c>
      <c r="AC74" s="97"/>
      <c r="AD74" s="97"/>
      <c r="AE74" s="97"/>
    </row>
    <row r="75" spans="9:34" x14ac:dyDescent="0.25">
      <c r="I75" s="1"/>
      <c r="J75" s="1"/>
      <c r="O75" s="12">
        <f>O74+0.5</f>
        <v>0.5</v>
      </c>
      <c r="P75" s="11">
        <f>P74+32.2*Y74*(O75-O74)</f>
        <v>2.1975850143339639</v>
      </c>
      <c r="Q75" s="7">
        <f t="shared" si="48"/>
        <v>3.2225721109264839E-2</v>
      </c>
      <c r="R75" s="7"/>
      <c r="S75" s="8">
        <f t="shared" ref="S75:S79" si="52">1481*Q75^2</f>
        <v>1.5380142065989459</v>
      </c>
      <c r="T75" s="6">
        <f t="shared" ref="T75:T134" si="53">$V$11</f>
        <v>0</v>
      </c>
      <c r="U75" s="7">
        <f t="shared" si="50"/>
        <v>4.8517845858733276E-2</v>
      </c>
      <c r="V75" s="22">
        <f t="shared" ref="V75:V89" si="54">T75*S75*$P$13</f>
        <v>0</v>
      </c>
      <c r="W75" s="8">
        <f t="shared" ref="W75:W99" si="55">IF(U75="","",S75*U75*$P$13+$V$12*($P$10-V75))</f>
        <v>0.95311193102154801</v>
      </c>
      <c r="X75" s="8">
        <f t="shared" si="51"/>
        <v>2.3965168611257583</v>
      </c>
      <c r="Y75" s="9">
        <f>IF(U75="","",(X75-W75)/$P$10)</f>
        <v>0.12443011864994648</v>
      </c>
      <c r="Z75" s="10">
        <f t="shared" ref="Z75:Z89" si="56">Q75/$V$9</f>
        <v>0.79498005029702012</v>
      </c>
      <c r="AA75" s="8">
        <f t="shared" ref="AA75:AA99" si="57">P75*3600/6080+$P$14</f>
        <v>21.301201653224059</v>
      </c>
      <c r="AB75" s="13">
        <f>AB74+(P75+P74)/2*(O75-O74)</f>
        <v>0.574396253583491</v>
      </c>
      <c r="AC75" s="97"/>
      <c r="AD75" s="97"/>
      <c r="AE75" s="97"/>
    </row>
    <row r="76" spans="9:34" x14ac:dyDescent="0.25">
      <c r="I76" s="1"/>
      <c r="J76" s="1"/>
      <c r="O76" s="12">
        <f t="shared" ref="O76:O89" si="58">O75+0.5</f>
        <v>1</v>
      </c>
      <c r="P76" s="11">
        <f t="shared" ref="P76:P89" si="59">P75+32.2*Y75*(O76-O75)</f>
        <v>4.2009099245981023</v>
      </c>
      <c r="Q76" s="7">
        <f t="shared" si="48"/>
        <v>3.4020243383368794E-2</v>
      </c>
      <c r="R76" s="7"/>
      <c r="S76" s="8">
        <f t="shared" si="52"/>
        <v>1.7140752775580628</v>
      </c>
      <c r="T76" s="6">
        <f t="shared" si="53"/>
        <v>0</v>
      </c>
      <c r="U76" s="7">
        <f t="shared" si="50"/>
        <v>4.8517845858733276E-2</v>
      </c>
      <c r="V76" s="22">
        <f t="shared" si="54"/>
        <v>0</v>
      </c>
      <c r="W76" s="8">
        <f t="shared" si="55"/>
        <v>0.99582245053413765</v>
      </c>
      <c r="X76" s="8">
        <f t="shared" si="51"/>
        <v>2.371420017396439</v>
      </c>
      <c r="Y76" s="9">
        <f t="shared" ref="Y76:Y89" si="60">IF(U76="","",(X76-W76)/$P$10)</f>
        <v>0.11858471929072331</v>
      </c>
      <c r="Z76" s="10">
        <f t="shared" si="56"/>
        <v>0.83924932833394006</v>
      </c>
      <c r="AA76" s="8">
        <f t="shared" si="57"/>
        <v>22.487380876406771</v>
      </c>
      <c r="AB76" s="13">
        <f t="shared" ref="AB76:AB89" si="61">AB75+(P76+P75)/2*(O76-O75)</f>
        <v>2.1740199883165072</v>
      </c>
      <c r="AC76" s="97"/>
      <c r="AD76" s="97"/>
      <c r="AE76" s="97"/>
    </row>
    <row r="77" spans="9:34" x14ac:dyDescent="0.25">
      <c r="I77" s="1"/>
      <c r="J77" s="1"/>
      <c r="O77" s="12">
        <f t="shared" si="58"/>
        <v>1.5</v>
      </c>
      <c r="P77" s="11">
        <f t="shared" si="59"/>
        <v>6.1101239051787477</v>
      </c>
      <c r="Q77" s="7">
        <f t="shared" si="48"/>
        <v>3.5730463725874746E-2</v>
      </c>
      <c r="R77" s="7"/>
      <c r="S77" s="8">
        <f t="shared" si="52"/>
        <v>1.8907424023758217</v>
      </c>
      <c r="T77" s="6">
        <f t="shared" si="53"/>
        <v>0</v>
      </c>
      <c r="U77" s="7">
        <f t="shared" si="50"/>
        <v>4.8517845858733276E-2</v>
      </c>
      <c r="V77" s="22">
        <f t="shared" si="54"/>
        <v>0</v>
      </c>
      <c r="W77" s="8">
        <f t="shared" si="55"/>
        <v>1.0386799921852057</v>
      </c>
      <c r="X77" s="8">
        <f t="shared" si="51"/>
        <v>2.3469783867136687</v>
      </c>
      <c r="Y77" s="9">
        <f t="shared" si="60"/>
        <v>0.11278312902045996</v>
      </c>
      <c r="Z77" s="10">
        <f t="shared" si="56"/>
        <v>0.88143895224629643</v>
      </c>
      <c r="AA77" s="8">
        <f t="shared" si="57"/>
        <v>23.617836522803206</v>
      </c>
      <c r="AB77" s="13">
        <f t="shared" si="61"/>
        <v>4.7517784457607197</v>
      </c>
      <c r="AC77" s="97"/>
      <c r="AD77" s="97"/>
      <c r="AE77" s="97"/>
    </row>
    <row r="78" spans="9:34" x14ac:dyDescent="0.25">
      <c r="I78" s="1"/>
      <c r="J78" s="1"/>
      <c r="O78" s="12">
        <f t="shared" si="58"/>
        <v>2</v>
      </c>
      <c r="P78" s="11">
        <f t="shared" si="59"/>
        <v>7.9259322824081533</v>
      </c>
      <c r="Q78" s="7">
        <f t="shared" si="48"/>
        <v>3.7357013948331214E-2</v>
      </c>
      <c r="R78" s="7"/>
      <c r="S78" s="8">
        <f t="shared" si="52"/>
        <v>2.066804353372139</v>
      </c>
      <c r="T78" s="6">
        <f t="shared" si="53"/>
        <v>0</v>
      </c>
      <c r="U78" s="7">
        <f t="shared" si="50"/>
        <v>4.8517845858733276E-2</v>
      </c>
      <c r="V78" s="22">
        <f t="shared" si="54"/>
        <v>0</v>
      </c>
      <c r="W78" s="8">
        <f t="shared" si="55"/>
        <v>1.0813907251853416</v>
      </c>
      <c r="X78" s="8">
        <f t="shared" si="51"/>
        <v>2.3232582571831877</v>
      </c>
      <c r="Y78" s="9">
        <f t="shared" si="60"/>
        <v>0.10705639223696695</v>
      </c>
      <c r="Z78" s="10">
        <f t="shared" si="56"/>
        <v>0.92156450826643199</v>
      </c>
      <c r="AA78" s="8">
        <f t="shared" si="57"/>
        <v>24.692986219846933</v>
      </c>
      <c r="AB78" s="13">
        <f t="shared" si="61"/>
        <v>8.2607924926574441</v>
      </c>
      <c r="AC78" s="97"/>
      <c r="AD78" s="97"/>
      <c r="AE78" s="97"/>
    </row>
    <row r="79" spans="9:34" x14ac:dyDescent="0.25">
      <c r="I79" s="1"/>
      <c r="J79" s="1"/>
      <c r="O79" s="12">
        <f t="shared" si="58"/>
        <v>2.5</v>
      </c>
      <c r="P79" s="11">
        <f t="shared" si="59"/>
        <v>9.6495401974233204</v>
      </c>
      <c r="Q79" s="7">
        <f t="shared" si="48"/>
        <v>3.8900973582372191E-2</v>
      </c>
      <c r="R79" s="7"/>
      <c r="S79" s="8">
        <f t="shared" si="52"/>
        <v>2.2411761893171565</v>
      </c>
      <c r="T79" s="6">
        <f t="shared" si="53"/>
        <v>0</v>
      </c>
      <c r="U79" s="7">
        <f t="shared" si="50"/>
        <v>4.8517845858733276E-2</v>
      </c>
      <c r="V79" s="22">
        <f t="shared" si="54"/>
        <v>0</v>
      </c>
      <c r="W79" s="8">
        <f t="shared" si="55"/>
        <v>1.1236914544777652</v>
      </c>
      <c r="X79" s="8">
        <f t="shared" si="51"/>
        <v>2.3003147958738546</v>
      </c>
      <c r="Y79" s="9">
        <f t="shared" si="60"/>
        <v>0.10143195365533471</v>
      </c>
      <c r="Z79" s="10">
        <f t="shared" si="56"/>
        <v>0.95965262748538671</v>
      </c>
      <c r="AA79" s="8">
        <f t="shared" si="57"/>
        <v>25.71354353794802</v>
      </c>
      <c r="AB79" s="13">
        <f t="shared" si="61"/>
        <v>12.654660612615313</v>
      </c>
      <c r="AC79" s="97"/>
      <c r="AD79" s="97"/>
      <c r="AE79" s="97"/>
    </row>
    <row r="80" spans="9:34" x14ac:dyDescent="0.25">
      <c r="I80" s="1"/>
      <c r="J80" s="1"/>
      <c r="O80" s="12">
        <f t="shared" si="58"/>
        <v>3</v>
      </c>
      <c r="P80" s="11">
        <f t="shared" si="59"/>
        <v>11.282594651274209</v>
      </c>
      <c r="Q80" s="7">
        <f t="shared" ref="Q80:Q89" si="62">AA80/661</f>
        <v>4.0363817965350338E-2</v>
      </c>
      <c r="R80" s="7"/>
      <c r="S80" s="8">
        <f t="shared" ref="S80:S89" si="63">1481*Q80^2</f>
        <v>2.4129011828958493</v>
      </c>
      <c r="T80" s="6">
        <f t="shared" si="53"/>
        <v>0</v>
      </c>
      <c r="U80" s="7">
        <f t="shared" si="50"/>
        <v>4.8517845858733276E-2</v>
      </c>
      <c r="V80" s="22">
        <f t="shared" si="54"/>
        <v>0</v>
      </c>
      <c r="W80" s="8">
        <f t="shared" si="55"/>
        <v>1.1653500883204799</v>
      </c>
      <c r="X80" s="8">
        <f t="shared" si="51"/>
        <v>2.2781923606013832</v>
      </c>
      <c r="Y80" s="9">
        <f t="shared" si="60"/>
        <v>9.5933644877180493E-2</v>
      </c>
      <c r="Z80" s="10">
        <f t="shared" si="56"/>
        <v>0.99573970517136401</v>
      </c>
      <c r="AA80" s="8">
        <f t="shared" si="57"/>
        <v>26.680483675096571</v>
      </c>
      <c r="AB80" s="13">
        <f t="shared" si="61"/>
        <v>17.887694324789695</v>
      </c>
      <c r="AC80" s="97"/>
      <c r="AD80" s="97"/>
      <c r="AE80" s="97"/>
    </row>
    <row r="81" spans="9:31" x14ac:dyDescent="0.25">
      <c r="I81" s="1"/>
      <c r="J81" s="1"/>
      <c r="O81" s="12">
        <f t="shared" si="58"/>
        <v>3.5</v>
      </c>
      <c r="P81" s="11">
        <f t="shared" si="59"/>
        <v>12.827126333796816</v>
      </c>
      <c r="Q81" s="7">
        <f t="shared" si="62"/>
        <v>4.1747366132272805E-2</v>
      </c>
      <c r="R81" s="7"/>
      <c r="S81" s="8">
        <f t="shared" si="63"/>
        <v>2.5811498594723989</v>
      </c>
      <c r="T81" s="6">
        <f t="shared" si="53"/>
        <v>0</v>
      </c>
      <c r="U81" s="7">
        <f t="shared" si="50"/>
        <v>4.8517845858733276E-2</v>
      </c>
      <c r="V81" s="22">
        <f t="shared" si="54"/>
        <v>0</v>
      </c>
      <c r="W81" s="8">
        <f t="shared" si="55"/>
        <v>1.2061654051008643</v>
      </c>
      <c r="X81" s="8">
        <f t="shared" si="51"/>
        <v>2.2569249837431569</v>
      </c>
      <c r="Y81" s="9">
        <f t="shared" si="60"/>
        <v>9.0581746200346341E-2</v>
      </c>
      <c r="Z81" s="10">
        <f t="shared" si="56"/>
        <v>1.0298706153098545</v>
      </c>
      <c r="AA81" s="8">
        <f t="shared" si="57"/>
        <v>27.595009013432325</v>
      </c>
      <c r="AB81" s="13">
        <f t="shared" si="61"/>
        <v>23.915124571057451</v>
      </c>
      <c r="AC81" s="97"/>
      <c r="AD81" s="97"/>
      <c r="AE81" s="97"/>
    </row>
    <row r="82" spans="9:31" x14ac:dyDescent="0.25">
      <c r="I82" s="1"/>
      <c r="J82" s="1"/>
      <c r="O82" s="12">
        <f t="shared" si="58"/>
        <v>4</v>
      </c>
      <c r="P82" s="11">
        <f t="shared" si="59"/>
        <v>14.285492447622392</v>
      </c>
      <c r="Q82" s="7">
        <f t="shared" si="62"/>
        <v>4.305372959915215E-2</v>
      </c>
      <c r="R82" s="7"/>
      <c r="S82" s="8">
        <f t="shared" si="63"/>
        <v>2.7452165995798237</v>
      </c>
      <c r="T82" s="6">
        <f t="shared" si="53"/>
        <v>0</v>
      </c>
      <c r="U82" s="7">
        <f t="shared" si="50"/>
        <v>4.8517845858733276E-2</v>
      </c>
      <c r="V82" s="22">
        <f t="shared" si="54"/>
        <v>0</v>
      </c>
      <c r="W82" s="8">
        <f t="shared" si="55"/>
        <v>1.245966229136249</v>
      </c>
      <c r="X82" s="8">
        <f t="shared" si="51"/>
        <v>2.2365369924954113</v>
      </c>
      <c r="Y82" s="9">
        <f t="shared" si="60"/>
        <v>8.5393111139678443E-2</v>
      </c>
      <c r="Z82" s="10">
        <f t="shared" si="56"/>
        <v>1.0620974471341811</v>
      </c>
      <c r="AA82" s="8">
        <f t="shared" si="57"/>
        <v>28.458515265039573</v>
      </c>
      <c r="AB82" s="13">
        <f t="shared" si="61"/>
        <v>30.693279266412254</v>
      </c>
      <c r="AC82" s="97"/>
      <c r="AD82" s="97"/>
      <c r="AE82" s="97"/>
    </row>
    <row r="83" spans="9:31" x14ac:dyDescent="0.25">
      <c r="I83" s="1"/>
      <c r="J83" s="1"/>
      <c r="O83" s="12">
        <f t="shared" si="58"/>
        <v>4.5</v>
      </c>
      <c r="P83" s="11">
        <f t="shared" si="59"/>
        <v>15.660321536971216</v>
      </c>
      <c r="Q83" s="7">
        <f t="shared" si="62"/>
        <v>4.4285262942186973E-2</v>
      </c>
      <c r="R83" s="7"/>
      <c r="S83" s="8">
        <f t="shared" si="63"/>
        <v>2.9045142650246438</v>
      </c>
      <c r="T83" s="6">
        <f t="shared" si="53"/>
        <v>0</v>
      </c>
      <c r="U83" s="7">
        <f t="shared" si="50"/>
        <v>4.8517845858733276E-2</v>
      </c>
      <c r="V83" s="22">
        <f t="shared" si="54"/>
        <v>0</v>
      </c>
      <c r="W83" s="8">
        <f t="shared" si="55"/>
        <v>1.2846101270247883</v>
      </c>
      <c r="X83" s="8">
        <f t="shared" si="51"/>
        <v>2.2170437310247326</v>
      </c>
      <c r="Y83" s="9">
        <f t="shared" si="60"/>
        <v>8.0381341063130315E-2</v>
      </c>
      <c r="Z83" s="10">
        <f t="shared" si="56"/>
        <v>1.092478285957577</v>
      </c>
      <c r="AA83" s="8">
        <f t="shared" si="57"/>
        <v>29.272558804785589</v>
      </c>
      <c r="AB83" s="13">
        <f t="shared" si="61"/>
        <v>38.179732762560654</v>
      </c>
      <c r="AC83" s="97"/>
      <c r="AD83" s="97"/>
      <c r="AE83" s="97"/>
    </row>
    <row r="84" spans="9:31" x14ac:dyDescent="0.25">
      <c r="I84" s="1"/>
      <c r="J84" s="1"/>
      <c r="O84" s="12">
        <f t="shared" si="58"/>
        <v>5</v>
      </c>
      <c r="P84" s="11">
        <f t="shared" si="59"/>
        <v>16.954461128087615</v>
      </c>
      <c r="Q84" s="7">
        <f t="shared" si="62"/>
        <v>4.5444516895531945E-2</v>
      </c>
      <c r="R84" s="7"/>
      <c r="S84" s="8">
        <f t="shared" si="63"/>
        <v>3.0585672956009349</v>
      </c>
      <c r="T84" s="6">
        <f t="shared" si="53"/>
        <v>0</v>
      </c>
      <c r="U84" s="7">
        <f t="shared" si="50"/>
        <v>4.8517845858733276E-2</v>
      </c>
      <c r="V84" s="22">
        <f t="shared" si="54"/>
        <v>0</v>
      </c>
      <c r="W84" s="8">
        <f t="shared" si="55"/>
        <v>1.3219817329826442</v>
      </c>
      <c r="X84" s="8">
        <f t="shared" si="51"/>
        <v>2.1984523522156043</v>
      </c>
      <c r="Y84" s="9">
        <f t="shared" si="60"/>
        <v>7.5556997811054641E-2</v>
      </c>
      <c r="Z84" s="10">
        <f t="shared" si="56"/>
        <v>1.121076056136636</v>
      </c>
      <c r="AA84" s="8">
        <f t="shared" si="57"/>
        <v>30.038825667946615</v>
      </c>
      <c r="AB84" s="13">
        <f t="shared" si="61"/>
        <v>46.333428428825364</v>
      </c>
      <c r="AC84" s="97"/>
      <c r="AD84" s="97"/>
      <c r="AE84" s="97"/>
    </row>
    <row r="85" spans="9:31" x14ac:dyDescent="0.25">
      <c r="I85" s="1"/>
      <c r="J85" s="1"/>
      <c r="O85" s="12">
        <f t="shared" si="58"/>
        <v>5.5</v>
      </c>
      <c r="P85" s="11">
        <f t="shared" si="59"/>
        <v>18.170928792845594</v>
      </c>
      <c r="Q85" s="7">
        <f t="shared" si="62"/>
        <v>4.6534194515448123E-2</v>
      </c>
      <c r="R85" s="7"/>
      <c r="S85" s="8">
        <f t="shared" si="63"/>
        <v>3.207003694877514</v>
      </c>
      <c r="T85" s="6">
        <f t="shared" si="53"/>
        <v>0</v>
      </c>
      <c r="U85" s="7">
        <f t="shared" si="50"/>
        <v>4.8517845858733276E-2</v>
      </c>
      <c r="V85" s="22">
        <f t="shared" si="54"/>
        <v>0</v>
      </c>
      <c r="W85" s="8">
        <f t="shared" si="55"/>
        <v>1.3579908046822764</v>
      </c>
      <c r="X85" s="8">
        <f t="shared" si="51"/>
        <v>2.1807626498332597</v>
      </c>
      <c r="Y85" s="9">
        <f t="shared" si="60"/>
        <v>7.0927843031948656E-2</v>
      </c>
      <c r="Z85" s="10">
        <f t="shared" si="56"/>
        <v>1.1479574396796546</v>
      </c>
      <c r="AA85" s="8">
        <f t="shared" si="57"/>
        <v>30.759102574711207</v>
      </c>
      <c r="AB85" s="13">
        <f t="shared" si="61"/>
        <v>55.114775909058665</v>
      </c>
      <c r="AC85" s="97"/>
      <c r="AD85" s="97"/>
      <c r="AE85" s="97"/>
    </row>
    <row r="86" spans="9:31" x14ac:dyDescent="0.25">
      <c r="I86" s="1"/>
      <c r="J86" s="1"/>
      <c r="O86" s="12">
        <f t="shared" si="58"/>
        <v>6</v>
      </c>
      <c r="P86" s="11">
        <f t="shared" si="59"/>
        <v>19.312867065659965</v>
      </c>
      <c r="Q86" s="7">
        <f t="shared" si="62"/>
        <v>4.7557110796136212E-2</v>
      </c>
      <c r="R86" s="7"/>
      <c r="S86" s="8">
        <f t="shared" si="63"/>
        <v>3.3495462839557195</v>
      </c>
      <c r="T86" s="6">
        <f t="shared" si="53"/>
        <v>0</v>
      </c>
      <c r="U86" s="7">
        <f t="shared" si="50"/>
        <v>4.8517845858733276E-2</v>
      </c>
      <c r="V86" s="22">
        <f t="shared" si="54"/>
        <v>0</v>
      </c>
      <c r="W86" s="8">
        <f t="shared" si="55"/>
        <v>1.3925701015082823</v>
      </c>
      <c r="X86" s="8">
        <f t="shared" si="51"/>
        <v>2.1639679055874677</v>
      </c>
      <c r="Y86" s="9">
        <f t="shared" si="60"/>
        <v>6.6499094111415649E-2</v>
      </c>
      <c r="Z86" s="10">
        <f t="shared" si="56"/>
        <v>1.1731918800049408</v>
      </c>
      <c r="AA86" s="8">
        <f t="shared" si="57"/>
        <v>31.435250236246034</v>
      </c>
      <c r="AB86" s="13">
        <f t="shared" si="61"/>
        <v>64.485724873685058</v>
      </c>
      <c r="AC86" s="97"/>
      <c r="AD86" s="97"/>
      <c r="AE86" s="97"/>
    </row>
    <row r="87" spans="9:31" x14ac:dyDescent="0.25">
      <c r="I87" s="1"/>
      <c r="J87" s="1"/>
      <c r="O87" s="12">
        <f t="shared" si="58"/>
        <v>6.5</v>
      </c>
      <c r="P87" s="11">
        <f t="shared" si="59"/>
        <v>20.383502480853757</v>
      </c>
      <c r="Q87" s="7">
        <f t="shared" si="62"/>
        <v>4.8516155976559026E-2</v>
      </c>
      <c r="R87" s="7"/>
      <c r="S87" s="8">
        <f t="shared" si="63"/>
        <v>3.4860035556886118</v>
      </c>
      <c r="T87" s="6">
        <f t="shared" si="53"/>
        <v>0</v>
      </c>
      <c r="U87" s="7">
        <f t="shared" si="50"/>
        <v>4.8517845858733276E-2</v>
      </c>
      <c r="V87" s="22">
        <f>T87*S87*$P$13</f>
        <v>0</v>
      </c>
      <c r="W87" s="8">
        <f t="shared" si="55"/>
        <v>1.425673165889481</v>
      </c>
      <c r="X87" s="8">
        <f t="shared" si="51"/>
        <v>2.1480557295176714</v>
      </c>
      <c r="Y87" s="9">
        <f t="shared" si="60"/>
        <v>6.2273687880793571E-2</v>
      </c>
      <c r="Z87" s="10">
        <f t="shared" si="56"/>
        <v>1.1968506767525626</v>
      </c>
      <c r="AA87" s="8">
        <f t="shared" si="57"/>
        <v>32.069179100505515</v>
      </c>
      <c r="AB87" s="13">
        <f t="shared" si="61"/>
        <v>74.409817260313488</v>
      </c>
      <c r="AC87" s="97"/>
      <c r="AD87" s="97"/>
      <c r="AE87" s="97"/>
    </row>
    <row r="88" spans="9:31" x14ac:dyDescent="0.25">
      <c r="I88" s="1"/>
      <c r="J88" s="1"/>
      <c r="O88" s="12">
        <f t="shared" si="58"/>
        <v>7</v>
      </c>
      <c r="P88" s="11">
        <f t="shared" si="59"/>
        <v>21.386108855734534</v>
      </c>
      <c r="Q88" s="7">
        <f t="shared" si="62"/>
        <v>4.9414262650450944E-2</v>
      </c>
      <c r="R88" s="7"/>
      <c r="S88" s="8">
        <f t="shared" si="63"/>
        <v>3.6162604122191593</v>
      </c>
      <c r="T88" s="6">
        <f t="shared" si="53"/>
        <v>0</v>
      </c>
      <c r="U88" s="7">
        <f t="shared" si="50"/>
        <v>4.8517845858733276E-2</v>
      </c>
      <c r="V88" s="22">
        <f t="shared" si="54"/>
        <v>0</v>
      </c>
      <c r="W88" s="8">
        <f t="shared" si="55"/>
        <v>1.4572720763254421</v>
      </c>
      <c r="X88" s="8">
        <f t="shared" si="51"/>
        <v>2.1330088760902761</v>
      </c>
      <c r="Y88" s="9">
        <f t="shared" si="60"/>
        <v>5.825254467213363E-2</v>
      </c>
      <c r="Z88" s="10">
        <f t="shared" si="56"/>
        <v>1.2190061744173586</v>
      </c>
      <c r="AA88" s="8">
        <f t="shared" si="57"/>
        <v>32.662827611948074</v>
      </c>
      <c r="AB88" s="13">
        <f t="shared" si="61"/>
        <v>84.852220094460563</v>
      </c>
      <c r="AC88" s="97"/>
      <c r="AD88" s="97"/>
      <c r="AE88" s="97"/>
    </row>
    <row r="89" spans="9:31" x14ac:dyDescent="0.25">
      <c r="I89" s="1"/>
      <c r="J89" s="1"/>
      <c r="O89" s="12">
        <f t="shared" si="58"/>
        <v>7.5</v>
      </c>
      <c r="P89" s="11">
        <f t="shared" si="59"/>
        <v>22.323974824955886</v>
      </c>
      <c r="Q89" s="7">
        <f t="shared" si="62"/>
        <v>5.0254376684509418E-2</v>
      </c>
      <c r="R89" s="7"/>
      <c r="S89" s="8">
        <f t="shared" si="63"/>
        <v>3.7402690187798231</v>
      </c>
      <c r="T89" s="6">
        <f t="shared" si="53"/>
        <v>0</v>
      </c>
      <c r="U89" s="7">
        <f t="shared" si="50"/>
        <v>4.8517845858733276E-2</v>
      </c>
      <c r="V89" s="22">
        <f t="shared" si="54"/>
        <v>0</v>
      </c>
      <c r="W89" s="8">
        <f t="shared" si="55"/>
        <v>1.4873552286167748</v>
      </c>
      <c r="X89" s="8">
        <f t="shared" si="51"/>
        <v>2.1188060222227225</v>
      </c>
      <c r="Y89" s="9">
        <f t="shared" si="60"/>
        <v>5.4434826659708217E-2</v>
      </c>
      <c r="Z89" s="10">
        <f t="shared" si="56"/>
        <v>1.2397310449264325</v>
      </c>
      <c r="AA89" s="8">
        <f t="shared" si="57"/>
        <v>33.218142988460727</v>
      </c>
      <c r="AB89" s="13">
        <f t="shared" si="61"/>
        <v>95.779741014633174</v>
      </c>
      <c r="AC89" s="97"/>
      <c r="AD89" s="97"/>
      <c r="AE89" s="97"/>
    </row>
    <row r="90" spans="9:31" x14ac:dyDescent="0.25">
      <c r="I90" s="1"/>
      <c r="J90" s="1"/>
      <c r="O90" s="12">
        <f t="shared" ref="O90:O134" si="64">O89+0.5</f>
        <v>8</v>
      </c>
      <c r="P90" s="11">
        <f t="shared" ref="P90:P99" si="65">P89+32.2*Y89*(O90-O89)</f>
        <v>23.200375534177191</v>
      </c>
      <c r="Q90" s="7">
        <f t="shared" ref="Q90:Q99" si="66">AA90/661</f>
        <v>5.1039431862369089E-2</v>
      </c>
      <c r="R90" s="7"/>
      <c r="S90" s="8">
        <f t="shared" ref="S90:S99" si="67">1481*Q90^2</f>
        <v>3.8580399587582908</v>
      </c>
      <c r="T90" s="6">
        <f t="shared" si="53"/>
        <v>0</v>
      </c>
      <c r="U90" s="7">
        <f t="shared" si="50"/>
        <v>4.8517845858733276E-2</v>
      </c>
      <c r="V90" s="22">
        <f t="shared" ref="V90:V99" si="68">T90*S90*$P$13</f>
        <v>0</v>
      </c>
      <c r="W90" s="8">
        <f t="shared" si="55"/>
        <v>1.5159251901793422</v>
      </c>
      <c r="X90" s="8">
        <f t="shared" si="51"/>
        <v>2.1054224969937936</v>
      </c>
      <c r="Y90" s="9">
        <f t="shared" ref="Y90:Y99" si="69">IF(U90="","",(X90-W90)/$P$10)</f>
        <v>5.0818185736313311E-2</v>
      </c>
      <c r="Z90" s="10">
        <f t="shared" ref="Z90:Z99" si="70">Q90/$V$9</f>
        <v>1.25909766212841</v>
      </c>
      <c r="AA90" s="8">
        <f t="shared" si="57"/>
        <v>33.737064461025966</v>
      </c>
      <c r="AB90" s="13">
        <f t="shared" ref="AB90:AB99" si="71">AB89+(P90+P89)/2*(O90-O89)</f>
        <v>107.16082860441645</v>
      </c>
      <c r="AC90" s="97"/>
      <c r="AD90" s="97"/>
      <c r="AE90" s="97"/>
    </row>
    <row r="91" spans="9:31" x14ac:dyDescent="0.25">
      <c r="I91" s="1"/>
      <c r="J91" s="1"/>
      <c r="O91" s="12">
        <f t="shared" si="64"/>
        <v>8.5</v>
      </c>
      <c r="P91" s="11">
        <f t="shared" si="65"/>
        <v>24.018548324531835</v>
      </c>
      <c r="Q91" s="7">
        <f t="shared" si="66"/>
        <v>5.1772328103430465E-2</v>
      </c>
      <c r="R91" s="7"/>
      <c r="S91" s="8">
        <f t="shared" si="67"/>
        <v>3.9696338306861478</v>
      </c>
      <c r="T91" s="6">
        <f t="shared" si="53"/>
        <v>0</v>
      </c>
      <c r="U91" s="7">
        <f t="shared" si="50"/>
        <v>4.8517845858733276E-2</v>
      </c>
      <c r="V91" s="22">
        <f t="shared" si="68"/>
        <v>0</v>
      </c>
      <c r="W91" s="8">
        <f t="shared" si="55"/>
        <v>1.5429966615642172</v>
      </c>
      <c r="X91" s="8">
        <f t="shared" si="51"/>
        <v>2.0928309559779819</v>
      </c>
      <c r="Y91" s="9">
        <f t="shared" si="69"/>
        <v>4.739899737405974E-2</v>
      </c>
      <c r="Z91" s="10">
        <f t="shared" si="70"/>
        <v>1.2771775644711991</v>
      </c>
      <c r="AA91" s="8">
        <f t="shared" si="57"/>
        <v>34.221508876367537</v>
      </c>
      <c r="AB91" s="13">
        <f t="shared" si="71"/>
        <v>118.96555956909371</v>
      </c>
      <c r="AC91" s="97"/>
      <c r="AD91" s="97"/>
      <c r="AE91" s="97"/>
    </row>
    <row r="92" spans="9:31" x14ac:dyDescent="0.25">
      <c r="I92" s="1"/>
      <c r="J92" s="1"/>
      <c r="O92" s="12">
        <f t="shared" si="64"/>
        <v>9</v>
      </c>
      <c r="P92" s="11">
        <f t="shared" si="65"/>
        <v>24.781672182254198</v>
      </c>
      <c r="Q92" s="7">
        <f t="shared" si="66"/>
        <v>5.2455913054411961E-2</v>
      </c>
      <c r="R92" s="7"/>
      <c r="S92" s="8">
        <f t="shared" si="67"/>
        <v>4.0751533880849724</v>
      </c>
      <c r="T92" s="6">
        <f t="shared" si="53"/>
        <v>0</v>
      </c>
      <c r="U92" s="7">
        <f t="shared" si="50"/>
        <v>4.8517845858733276E-2</v>
      </c>
      <c r="V92" s="22">
        <f t="shared" si="68"/>
        <v>0</v>
      </c>
      <c r="W92" s="8">
        <f t="shared" si="55"/>
        <v>1.5685945696690067</v>
      </c>
      <c r="X92" s="8">
        <f t="shared" si="51"/>
        <v>2.0810019959051695</v>
      </c>
      <c r="Y92" s="9">
        <f t="shared" si="69"/>
        <v>4.4172577988268485E-2</v>
      </c>
      <c r="Z92" s="10">
        <f t="shared" si="70"/>
        <v>1.294041000881853</v>
      </c>
      <c r="AA92" s="8">
        <f t="shared" si="57"/>
        <v>34.673358528966304</v>
      </c>
      <c r="AB92" s="13">
        <f t="shared" si="71"/>
        <v>131.16561469579023</v>
      </c>
      <c r="AC92" s="97"/>
      <c r="AD92" s="97"/>
      <c r="AE92" s="97"/>
    </row>
    <row r="93" spans="9:31" x14ac:dyDescent="0.25">
      <c r="I93" s="1"/>
      <c r="J93" s="1"/>
      <c r="O93" s="12">
        <f t="shared" si="64"/>
        <v>9.5</v>
      </c>
      <c r="P93" s="11">
        <f t="shared" si="65"/>
        <v>25.492850687865321</v>
      </c>
      <c r="Q93" s="7">
        <f t="shared" si="66"/>
        <v>5.3092966815708645E-2</v>
      </c>
      <c r="R93" s="7"/>
      <c r="S93" s="8">
        <f t="shared" si="67"/>
        <v>4.1747362885603243</v>
      </c>
      <c r="T93" s="6">
        <f t="shared" si="53"/>
        <v>0</v>
      </c>
      <c r="U93" s="7">
        <f t="shared" si="50"/>
        <v>4.8517845858733276E-2</v>
      </c>
      <c r="V93" s="22">
        <f t="shared" si="68"/>
        <v>0</v>
      </c>
      <c r="W93" s="8">
        <f t="shared" si="55"/>
        <v>1.5927523087461504</v>
      </c>
      <c r="X93" s="8">
        <f t="shared" si="51"/>
        <v>2.0699047076784147</v>
      </c>
      <c r="Y93" s="9">
        <f t="shared" si="69"/>
        <v>4.1133384246485653E-2</v>
      </c>
      <c r="Z93" s="10">
        <f t="shared" si="70"/>
        <v>1.3097565539793428</v>
      </c>
      <c r="AA93" s="8">
        <f t="shared" si="57"/>
        <v>35.094451065183414</v>
      </c>
      <c r="AB93" s="13">
        <f t="shared" si="71"/>
        <v>143.73424541332011</v>
      </c>
      <c r="AC93" s="97"/>
      <c r="AD93" s="97"/>
      <c r="AE93" s="97"/>
    </row>
    <row r="94" spans="9:31" x14ac:dyDescent="0.25">
      <c r="I94" s="1"/>
      <c r="J94" s="1"/>
      <c r="O94" s="12">
        <f t="shared" si="64"/>
        <v>10</v>
      </c>
      <c r="P94" s="11">
        <f t="shared" si="65"/>
        <v>26.155098174233739</v>
      </c>
      <c r="Q94" s="7">
        <f t="shared" si="66"/>
        <v>5.3686189542171317E-2</v>
      </c>
      <c r="R94" s="7"/>
      <c r="S94" s="8">
        <f t="shared" si="67"/>
        <v>4.2685484893333161</v>
      </c>
      <c r="T94" s="6">
        <f t="shared" si="53"/>
        <v>0</v>
      </c>
      <c r="U94" s="7">
        <f t="shared" si="50"/>
        <v>4.8517845858733276E-2</v>
      </c>
      <c r="V94" s="22">
        <f t="shared" si="68"/>
        <v>0</v>
      </c>
      <c r="W94" s="8">
        <f t="shared" si="55"/>
        <v>1.6155101382300128</v>
      </c>
      <c r="X94" s="8">
        <f t="shared" si="51"/>
        <v>2.0595071676897536</v>
      </c>
      <c r="Y94" s="9">
        <f t="shared" si="69"/>
        <v>3.8275193539702448E-2</v>
      </c>
      <c r="Z94" s="10">
        <f t="shared" si="70"/>
        <v>1.3243908341967385</v>
      </c>
      <c r="AA94" s="8">
        <f t="shared" si="57"/>
        <v>35.486571287375241</v>
      </c>
      <c r="AB94" s="13">
        <f t="shared" si="71"/>
        <v>156.64623262884487</v>
      </c>
      <c r="AC94" s="97"/>
      <c r="AD94" s="97"/>
      <c r="AE94" s="97"/>
    </row>
    <row r="95" spans="9:31" x14ac:dyDescent="0.25">
      <c r="I95" s="1"/>
      <c r="J95" s="1"/>
      <c r="O95" s="12">
        <f t="shared" si="64"/>
        <v>10.5</v>
      </c>
      <c r="P95" s="11">
        <f t="shared" si="65"/>
        <v>26.771328790222949</v>
      </c>
      <c r="Q95" s="7">
        <f t="shared" si="66"/>
        <v>5.4238191646628575E-2</v>
      </c>
      <c r="R95" s="7"/>
      <c r="S95" s="8">
        <f t="shared" si="67"/>
        <v>4.3567783024157833</v>
      </c>
      <c r="T95" s="6">
        <f t="shared" si="53"/>
        <v>0</v>
      </c>
      <c r="U95" s="7">
        <f t="shared" si="50"/>
        <v>4.8517845858733276E-2</v>
      </c>
      <c r="V95" s="22">
        <f t="shared" si="68"/>
        <v>0</v>
      </c>
      <c r="W95" s="8">
        <f t="shared" si="55"/>
        <v>1.6369137405864129</v>
      </c>
      <c r="X95" s="8">
        <f t="shared" si="51"/>
        <v>2.0497768688815903</v>
      </c>
      <c r="Y95" s="9">
        <f t="shared" si="69"/>
        <v>3.5591265464396067E-2</v>
      </c>
      <c r="Z95" s="10">
        <f t="shared" si="70"/>
        <v>1.3380082381107608</v>
      </c>
      <c r="AA95" s="8">
        <f t="shared" si="57"/>
        <v>35.851444678421487</v>
      </c>
      <c r="AB95" s="13">
        <f t="shared" si="71"/>
        <v>169.87783936995905</v>
      </c>
      <c r="AC95" s="97"/>
      <c r="AD95" s="97"/>
      <c r="AE95" s="97"/>
    </row>
    <row r="96" spans="9:31" x14ac:dyDescent="0.25">
      <c r="I96" s="1"/>
      <c r="J96" s="1"/>
      <c r="O96" s="12">
        <f t="shared" si="64"/>
        <v>11</v>
      </c>
      <c r="P96" s="11">
        <f t="shared" si="65"/>
        <v>27.344348164199726</v>
      </c>
      <c r="Q96" s="7">
        <f t="shared" si="66"/>
        <v>5.4751486332291335E-2</v>
      </c>
      <c r="R96" s="7"/>
      <c r="S96" s="8">
        <f t="shared" si="67"/>
        <v>4.4396311035363203</v>
      </c>
      <c r="T96" s="6">
        <f t="shared" si="53"/>
        <v>0</v>
      </c>
      <c r="U96" s="7">
        <f t="shared" si="50"/>
        <v>4.8517845858733276E-2</v>
      </c>
      <c r="V96" s="22">
        <f t="shared" si="68"/>
        <v>0</v>
      </c>
      <c r="W96" s="8">
        <f t="shared" si="55"/>
        <v>1.6570129377550655</v>
      </c>
      <c r="X96" s="8">
        <f t="shared" si="51"/>
        <v>2.0406810941460352</v>
      </c>
      <c r="Y96" s="9">
        <f t="shared" si="69"/>
        <v>3.3074484662102319E-2</v>
      </c>
      <c r="Z96" s="10">
        <f t="shared" si="70"/>
        <v>1.3506707642228004</v>
      </c>
      <c r="AA96" s="8">
        <f t="shared" si="57"/>
        <v>36.190732465644572</v>
      </c>
      <c r="AB96" s="13">
        <f t="shared" si="71"/>
        <v>183.40675860856473</v>
      </c>
      <c r="AC96" s="97"/>
      <c r="AD96" s="97"/>
      <c r="AE96" s="97"/>
    </row>
    <row r="97" spans="9:31" x14ac:dyDescent="0.25">
      <c r="I97" s="1"/>
      <c r="J97" s="1"/>
      <c r="O97" s="12">
        <f t="shared" si="64"/>
        <v>11.5</v>
      </c>
      <c r="P97" s="11">
        <f t="shared" si="65"/>
        <v>27.876847367259572</v>
      </c>
      <c r="Q97" s="7">
        <f t="shared" si="66"/>
        <v>5.5228484185179567E-2</v>
      </c>
      <c r="R97" s="7"/>
      <c r="S97" s="8">
        <f t="shared" si="67"/>
        <v>4.5173246742464848</v>
      </c>
      <c r="T97" s="6">
        <f t="shared" si="53"/>
        <v>0</v>
      </c>
      <c r="U97" s="7">
        <f t="shared" si="50"/>
        <v>4.8517845858733276E-2</v>
      </c>
      <c r="V97" s="22">
        <f t="shared" si="68"/>
        <v>0</v>
      </c>
      <c r="W97" s="8">
        <f t="shared" si="55"/>
        <v>1.675860561194717</v>
      </c>
      <c r="X97" s="8">
        <f t="shared" si="51"/>
        <v>2.0321872354796318</v>
      </c>
      <c r="Y97" s="9">
        <f t="shared" si="69"/>
        <v>3.0717485741310096E-2</v>
      </c>
      <c r="Z97" s="10">
        <f t="shared" si="70"/>
        <v>1.3624378795588676</v>
      </c>
      <c r="AA97" s="8">
        <f t="shared" si="57"/>
        <v>36.506028046403692</v>
      </c>
      <c r="AB97" s="13">
        <f t="shared" si="71"/>
        <v>197.21205749142956</v>
      </c>
      <c r="AC97" s="97"/>
      <c r="AD97" s="97"/>
      <c r="AE97" s="97"/>
    </row>
    <row r="98" spans="9:31" x14ac:dyDescent="0.25">
      <c r="I98" s="1"/>
      <c r="J98" s="1"/>
      <c r="O98" s="12">
        <f t="shared" si="64"/>
        <v>12</v>
      </c>
      <c r="P98" s="11">
        <f t="shared" si="65"/>
        <v>28.371398887694664</v>
      </c>
      <c r="Q98" s="7">
        <f t="shared" si="66"/>
        <v>5.5671489568163472E-2</v>
      </c>
      <c r="R98" s="7"/>
      <c r="S98" s="8">
        <f t="shared" si="67"/>
        <v>4.5900851458431768</v>
      </c>
      <c r="T98" s="6">
        <f t="shared" si="53"/>
        <v>0</v>
      </c>
      <c r="U98" s="7">
        <f t="shared" si="50"/>
        <v>4.8517845858733276E-2</v>
      </c>
      <c r="V98" s="22">
        <f t="shared" si="68"/>
        <v>0</v>
      </c>
      <c r="W98" s="8">
        <f t="shared" si="55"/>
        <v>1.6935114679224026</v>
      </c>
      <c r="X98" s="8">
        <f t="shared" si="51"/>
        <v>2.0242630628620537</v>
      </c>
      <c r="Y98" s="9">
        <f t="shared" si="69"/>
        <v>2.8512761279697516E-2</v>
      </c>
      <c r="Z98" s="10">
        <f t="shared" si="70"/>
        <v>1.3733664307137756</v>
      </c>
      <c r="AA98" s="8">
        <f t="shared" si="57"/>
        <v>36.798854604556055</v>
      </c>
      <c r="AB98" s="13">
        <f t="shared" si="71"/>
        <v>211.27411905516811</v>
      </c>
      <c r="AC98" s="97"/>
      <c r="AD98" s="97"/>
      <c r="AE98" s="97"/>
    </row>
    <row r="99" spans="9:31" ht="15.75" thickBot="1" x14ac:dyDescent="0.3">
      <c r="I99" s="1"/>
      <c r="J99" s="1"/>
      <c r="O99" s="14">
        <f t="shared" si="64"/>
        <v>12.5</v>
      </c>
      <c r="P99" s="20">
        <f t="shared" si="65"/>
        <v>28.830454344297795</v>
      </c>
      <c r="Q99" s="15">
        <f t="shared" si="66"/>
        <v>5.6082698572605318E-2</v>
      </c>
      <c r="R99" s="15"/>
      <c r="S99" s="16">
        <f t="shared" si="67"/>
        <v>4.6581435062740315</v>
      </c>
      <c r="T99" s="28">
        <f t="shared" si="53"/>
        <v>0</v>
      </c>
      <c r="U99" s="15">
        <f t="shared" si="50"/>
        <v>4.8517845858733276E-2</v>
      </c>
      <c r="V99" s="29">
        <f t="shared" si="68"/>
        <v>0</v>
      </c>
      <c r="W99" s="8">
        <f t="shared" si="55"/>
        <v>1.7100216931263139</v>
      </c>
      <c r="X99" s="8">
        <f t="shared" si="51"/>
        <v>2.0168769471501182</v>
      </c>
      <c r="Y99" s="17">
        <f t="shared" si="69"/>
        <v>2.6452754088753729E-2</v>
      </c>
      <c r="Z99" s="18">
        <f t="shared" si="70"/>
        <v>1.383510593319955</v>
      </c>
      <c r="AA99" s="8">
        <f t="shared" si="57"/>
        <v>37.070663756492117</v>
      </c>
      <c r="AB99" s="19">
        <f t="shared" si="71"/>
        <v>225.57458236316623</v>
      </c>
      <c r="AC99" s="97"/>
      <c r="AD99" s="97"/>
      <c r="AE99" s="97"/>
    </row>
    <row r="100" spans="9:31" ht="15.75" thickBot="1" x14ac:dyDescent="0.3">
      <c r="I100" s="1"/>
      <c r="J100" s="1"/>
      <c r="O100" s="14">
        <f t="shared" si="64"/>
        <v>13</v>
      </c>
      <c r="P100" s="20">
        <f t="shared" ref="P100:P111" si="72">P99+32.2*Y99*(O100-O99)</f>
        <v>29.25634368512673</v>
      </c>
      <c r="Q100" s="15">
        <f t="shared" ref="Q100:Q111" si="73">AA100/661</f>
        <v>5.6464198300635066E-2</v>
      </c>
      <c r="R100" s="15"/>
      <c r="S100" s="16">
        <f t="shared" ref="S100:S111" si="74">1481*Q100^2</f>
        <v>4.7217326264952248</v>
      </c>
      <c r="T100" s="28">
        <f t="shared" si="53"/>
        <v>0</v>
      </c>
      <c r="U100" s="15">
        <f t="shared" ref="U100:U111" si="75">IF(T100&lt;$P$8,T100^2/(PI()*$P$12)+$P$11,99.999)</f>
        <v>4.8517845858733276E-2</v>
      </c>
      <c r="V100" s="29">
        <f t="shared" ref="V100:V111" si="76">T100*S100*$P$13</f>
        <v>0</v>
      </c>
      <c r="W100" s="8">
        <f t="shared" ref="W100:W111" si="77">IF(U100="","",S100*U100*$P$13+$V$12*($P$10-V100))</f>
        <v>1.7254477287922354</v>
      </c>
      <c r="X100" s="8">
        <f t="shared" si="51"/>
        <v>2.0099980414158698</v>
      </c>
      <c r="Y100" s="17">
        <f t="shared" ref="Y100:Y111" si="78">IF(U100="","",(X100-W100)/$P$10)</f>
        <v>2.4529935032909941E-2</v>
      </c>
      <c r="Z100" s="18">
        <f t="shared" ref="Z100:Z111" si="79">Q100/$V$9</f>
        <v>1.3929218543418282</v>
      </c>
      <c r="AA100" s="8">
        <f t="shared" ref="AA100:AA111" si="80">P100*3600/6080+$P$14</f>
        <v>37.322835076719777</v>
      </c>
      <c r="AB100" s="19">
        <f t="shared" ref="AB100:AB111" si="81">AB99+(P100+P99)/2*(O100-O99)</f>
        <v>240.09628187052238</v>
      </c>
      <c r="AC100" s="97"/>
      <c r="AD100" s="97"/>
      <c r="AE100" s="97"/>
    </row>
    <row r="101" spans="9:31" ht="15.75" thickBot="1" x14ac:dyDescent="0.3">
      <c r="I101" s="1"/>
      <c r="J101" s="1"/>
      <c r="O101" s="14">
        <f t="shared" si="64"/>
        <v>13.5</v>
      </c>
      <c r="P101" s="20">
        <f t="shared" si="72"/>
        <v>29.65127563915658</v>
      </c>
      <c r="Q101" s="15">
        <f t="shared" si="73"/>
        <v>5.6817967269727807E-2</v>
      </c>
      <c r="R101" s="15"/>
      <c r="S101" s="16">
        <f t="shared" si="74"/>
        <v>4.7810847603071771</v>
      </c>
      <c r="T101" s="28">
        <f t="shared" si="53"/>
        <v>0</v>
      </c>
      <c r="U101" s="15">
        <f t="shared" si="75"/>
        <v>4.8517845858733276E-2</v>
      </c>
      <c r="V101" s="29">
        <f t="shared" si="76"/>
        <v>0</v>
      </c>
      <c r="W101" s="8">
        <f t="shared" si="77"/>
        <v>1.7398459171906118</v>
      </c>
      <c r="X101" s="8">
        <f t="shared" si="51"/>
        <v>2.0035964251489751</v>
      </c>
      <c r="Y101" s="17">
        <f t="shared" si="78"/>
        <v>2.2736867745680615E-2</v>
      </c>
      <c r="Z101" s="18">
        <f t="shared" si="79"/>
        <v>1.4016490220563784</v>
      </c>
      <c r="AA101" s="8">
        <f t="shared" si="80"/>
        <v>37.55667636529008</v>
      </c>
      <c r="AB101" s="19">
        <f t="shared" si="81"/>
        <v>254.82318670159322</v>
      </c>
      <c r="AC101" s="97"/>
      <c r="AD101" s="97"/>
      <c r="AE101" s="97"/>
    </row>
    <row r="102" spans="9:31" ht="15.75" thickBot="1" x14ac:dyDescent="0.3">
      <c r="I102" s="1"/>
      <c r="J102" s="1"/>
      <c r="O102" s="14">
        <f t="shared" si="64"/>
        <v>14</v>
      </c>
      <c r="P102" s="20">
        <f t="shared" si="72"/>
        <v>30.017339209862037</v>
      </c>
      <c r="Q102" s="15">
        <f t="shared" si="73"/>
        <v>5.7145876750612938E-2</v>
      </c>
      <c r="R102" s="15"/>
      <c r="S102" s="16">
        <f t="shared" si="74"/>
        <v>4.8364294710320381</v>
      </c>
      <c r="T102" s="28">
        <f t="shared" si="53"/>
        <v>0</v>
      </c>
      <c r="U102" s="15">
        <f t="shared" si="75"/>
        <v>4.8517845858733276E-2</v>
      </c>
      <c r="V102" s="29">
        <f t="shared" si="76"/>
        <v>0</v>
      </c>
      <c r="W102" s="8">
        <f t="shared" si="77"/>
        <v>1.7532719479108367</v>
      </c>
      <c r="X102" s="8">
        <f t="shared" si="51"/>
        <v>1.9976432156239918</v>
      </c>
      <c r="Y102" s="17">
        <f t="shared" si="78"/>
        <v>2.1066261588832458E-2</v>
      </c>
      <c r="Z102" s="18">
        <f t="shared" si="79"/>
        <v>1.409738259058184</v>
      </c>
      <c r="AA102" s="8">
        <f t="shared" si="80"/>
        <v>37.773424532155154</v>
      </c>
      <c r="AB102" s="19">
        <f t="shared" si="81"/>
        <v>269.74034041384789</v>
      </c>
      <c r="AC102" s="97"/>
      <c r="AD102" s="97"/>
      <c r="AE102" s="97"/>
    </row>
    <row r="103" spans="9:31" ht="15.75" thickBot="1" x14ac:dyDescent="0.3">
      <c r="I103" s="1"/>
      <c r="J103" s="1"/>
      <c r="O103" s="14">
        <f t="shared" si="64"/>
        <v>14.5</v>
      </c>
      <c r="P103" s="20">
        <f t="shared" si="72"/>
        <v>30.35650602144224</v>
      </c>
      <c r="Q103" s="15">
        <f t="shared" si="73"/>
        <v>5.7449692868956542E-2</v>
      </c>
      <c r="R103" s="15"/>
      <c r="S103" s="16">
        <f t="shared" si="74"/>
        <v>4.8879919391021431</v>
      </c>
      <c r="T103" s="28">
        <f t="shared" si="53"/>
        <v>0</v>
      </c>
      <c r="U103" s="15">
        <f t="shared" si="75"/>
        <v>4.8517845858733276E-2</v>
      </c>
      <c r="V103" s="29">
        <f t="shared" si="76"/>
        <v>0</v>
      </c>
      <c r="W103" s="8">
        <f t="shared" si="77"/>
        <v>1.7657804473004428</v>
      </c>
      <c r="X103" s="8">
        <f t="shared" si="51"/>
        <v>1.9921106505323622</v>
      </c>
      <c r="Y103" s="17">
        <f t="shared" si="78"/>
        <v>1.9511014168547277E-2</v>
      </c>
      <c r="Z103" s="18">
        <f t="shared" si="79"/>
        <v>1.4172331341060662</v>
      </c>
      <c r="AA103" s="8">
        <f t="shared" si="80"/>
        <v>37.974246986380273</v>
      </c>
      <c r="AB103" s="19">
        <f t="shared" si="81"/>
        <v>284.83380172167398</v>
      </c>
      <c r="AC103" s="97"/>
      <c r="AD103" s="97"/>
      <c r="AE103" s="97"/>
    </row>
    <row r="104" spans="9:31" ht="15.75" thickBot="1" x14ac:dyDescent="0.3">
      <c r="I104" s="1"/>
      <c r="J104" s="1"/>
      <c r="O104" s="14">
        <f t="shared" si="64"/>
        <v>15</v>
      </c>
      <c r="P104" s="20">
        <f t="shared" si="72"/>
        <v>30.67063334955585</v>
      </c>
      <c r="Q104" s="15">
        <f t="shared" si="73"/>
        <v>5.7731079320208878E-2</v>
      </c>
      <c r="R104" s="15"/>
      <c r="S104" s="16">
        <f t="shared" si="74"/>
        <v>4.9359916063443245</v>
      </c>
      <c r="T104" s="28">
        <f t="shared" si="53"/>
        <v>0</v>
      </c>
      <c r="U104" s="15">
        <f t="shared" si="75"/>
        <v>4.8517845858733276E-2</v>
      </c>
      <c r="V104" s="29">
        <f t="shared" si="76"/>
        <v>0</v>
      </c>
      <c r="W104" s="8">
        <f t="shared" si="77"/>
        <v>1.7774246495830761</v>
      </c>
      <c r="X104" s="8">
        <f t="shared" si="51"/>
        <v>1.9869721457224232</v>
      </c>
      <c r="Y104" s="17">
        <f t="shared" si="78"/>
        <v>1.8064244664548625E-2</v>
      </c>
      <c r="Z104" s="18">
        <f t="shared" si="79"/>
        <v>1.4241746890959768</v>
      </c>
      <c r="AA104" s="8">
        <f t="shared" si="80"/>
        <v>38.16024343065807</v>
      </c>
      <c r="AB104" s="19">
        <f t="shared" si="81"/>
        <v>300.09058656442352</v>
      </c>
      <c r="AC104" s="97"/>
      <c r="AD104" s="97"/>
      <c r="AE104" s="97"/>
    </row>
    <row r="105" spans="9:31" ht="15.75" thickBot="1" x14ac:dyDescent="0.3">
      <c r="I105" s="1"/>
      <c r="J105" s="1"/>
      <c r="O105" s="14">
        <f t="shared" si="64"/>
        <v>15.5</v>
      </c>
      <c r="P105" s="20">
        <f t="shared" si="72"/>
        <v>30.961467688655084</v>
      </c>
      <c r="Q105" s="15">
        <f t="shared" si="73"/>
        <v>5.7991600565122189E-2</v>
      </c>
      <c r="R105" s="15"/>
      <c r="S105" s="16">
        <f t="shared" si="74"/>
        <v>4.9806411151710313</v>
      </c>
      <c r="T105" s="28">
        <f t="shared" si="53"/>
        <v>0</v>
      </c>
      <c r="U105" s="15">
        <f t="shared" si="75"/>
        <v>4.8517845858733276E-2</v>
      </c>
      <c r="V105" s="29">
        <f t="shared" si="76"/>
        <v>0</v>
      </c>
      <c r="W105" s="8">
        <f t="shared" si="77"/>
        <v>1.7882561395176877</v>
      </c>
      <c r="X105" s="8">
        <f t="shared" si="51"/>
        <v>1.9822023315991137</v>
      </c>
      <c r="Y105" s="17">
        <f t="shared" si="78"/>
        <v>1.6719319152287245E-2</v>
      </c>
      <c r="Z105" s="18">
        <f t="shared" si="79"/>
        <v>1.4306015178915963</v>
      </c>
      <c r="AA105" s="8">
        <f t="shared" si="80"/>
        <v>38.332447973545769</v>
      </c>
      <c r="AB105" s="19">
        <f t="shared" si="81"/>
        <v>315.49861182397626</v>
      </c>
      <c r="AC105" s="97"/>
      <c r="AD105" s="97"/>
      <c r="AE105" s="97"/>
    </row>
    <row r="106" spans="9:31" ht="15.75" thickBot="1" x14ac:dyDescent="0.3">
      <c r="I106" s="1"/>
      <c r="J106" s="1"/>
      <c r="O106" s="14">
        <f t="shared" si="64"/>
        <v>16</v>
      </c>
      <c r="P106" s="20">
        <f t="shared" si="72"/>
        <v>31.230648727006908</v>
      </c>
      <c r="Q106" s="15">
        <f t="shared" si="73"/>
        <v>5.8232725390463223E-2</v>
      </c>
      <c r="R106" s="15"/>
      <c r="S106" s="16">
        <f t="shared" si="74"/>
        <v>5.0221455037800293</v>
      </c>
      <c r="T106" s="28">
        <f t="shared" si="53"/>
        <v>0</v>
      </c>
      <c r="U106" s="15">
        <f t="shared" si="75"/>
        <v>4.8517845858733276E-2</v>
      </c>
      <c r="V106" s="29">
        <f t="shared" si="76"/>
        <v>0</v>
      </c>
      <c r="W106" s="8">
        <f t="shared" si="77"/>
        <v>1.7983246571626492</v>
      </c>
      <c r="X106" s="8">
        <f t="shared" ref="X106:X134" si="82">$P$9*($G$34*AA106^2+$G$35*AA106+$G$36)</f>
        <v>1.977777071424992</v>
      </c>
      <c r="Y106" s="17">
        <f t="shared" si="78"/>
        <v>1.5469869011096246E-2</v>
      </c>
      <c r="Z106" s="18">
        <f t="shared" si="79"/>
        <v>1.436549854163965</v>
      </c>
      <c r="AA106" s="8">
        <f t="shared" si="80"/>
        <v>38.491831483096192</v>
      </c>
      <c r="AB106" s="19">
        <f t="shared" si="81"/>
        <v>331.04664092789176</v>
      </c>
      <c r="AC106" s="97"/>
      <c r="AD106" s="97"/>
      <c r="AE106" s="97"/>
    </row>
    <row r="107" spans="9:31" ht="15.75" thickBot="1" x14ac:dyDescent="0.3">
      <c r="I107" s="1"/>
      <c r="J107" s="1"/>
      <c r="O107" s="14">
        <f t="shared" si="64"/>
        <v>16.5</v>
      </c>
      <c r="P107" s="20">
        <f t="shared" si="72"/>
        <v>31.479713618085558</v>
      </c>
      <c r="Q107" s="15">
        <f t="shared" si="73"/>
        <v>5.8455830735206826E-2</v>
      </c>
      <c r="R107" s="15"/>
      <c r="S107" s="16">
        <f t="shared" si="74"/>
        <v>5.0607016216228065</v>
      </c>
      <c r="T107" s="28">
        <f t="shared" si="53"/>
        <v>0</v>
      </c>
      <c r="U107" s="15">
        <f t="shared" si="75"/>
        <v>4.8517845858733276E-2</v>
      </c>
      <c r="V107" s="29">
        <f t="shared" si="76"/>
        <v>0</v>
      </c>
      <c r="W107" s="8">
        <f t="shared" si="77"/>
        <v>1.8076779560746843</v>
      </c>
      <c r="X107" s="8">
        <f t="shared" si="82"/>
        <v>1.9736734644486409</v>
      </c>
      <c r="Y107" s="17">
        <f t="shared" si="78"/>
        <v>1.430980341797667E-2</v>
      </c>
      <c r="Z107" s="18">
        <f t="shared" si="79"/>
        <v>1.4420536657802956</v>
      </c>
      <c r="AA107" s="8">
        <f t="shared" si="80"/>
        <v>38.639304115971711</v>
      </c>
      <c r="AB107" s="19">
        <f t="shared" si="81"/>
        <v>346.7242315141649</v>
      </c>
      <c r="AC107" s="97"/>
      <c r="AD107" s="97"/>
      <c r="AE107" s="97"/>
    </row>
    <row r="108" spans="9:31" ht="15.75" thickBot="1" x14ac:dyDescent="0.3">
      <c r="I108" s="1"/>
      <c r="J108" s="1"/>
      <c r="O108" s="14">
        <f t="shared" si="64"/>
        <v>17</v>
      </c>
      <c r="P108" s="20">
        <f t="shared" si="72"/>
        <v>31.710101453114984</v>
      </c>
      <c r="Q108" s="15">
        <f t="shared" si="73"/>
        <v>5.8662205696914056E-2</v>
      </c>
      <c r="R108" s="15"/>
      <c r="S108" s="16">
        <f t="shared" si="74"/>
        <v>5.0964977326732699</v>
      </c>
      <c r="T108" s="28">
        <f t="shared" si="53"/>
        <v>0</v>
      </c>
      <c r="U108" s="15">
        <f t="shared" si="75"/>
        <v>4.8517845858733276E-2</v>
      </c>
      <c r="V108" s="29">
        <f t="shared" si="76"/>
        <v>0</v>
      </c>
      <c r="W108" s="8">
        <f t="shared" si="77"/>
        <v>1.8163617070661267</v>
      </c>
      <c r="X108" s="8">
        <f t="shared" si="82"/>
        <v>1.9698698364753289</v>
      </c>
      <c r="Y108" s="17">
        <f t="shared" si="78"/>
        <v>1.323331683143089E-2</v>
      </c>
      <c r="Z108" s="18">
        <f t="shared" si="79"/>
        <v>1.4471447536377802</v>
      </c>
      <c r="AA108" s="8">
        <f t="shared" si="80"/>
        <v>38.775717965660192</v>
      </c>
      <c r="AB108" s="19">
        <f t="shared" si="81"/>
        <v>362.52168528196501</v>
      </c>
      <c r="AC108" s="97"/>
      <c r="AD108" s="97"/>
      <c r="AE108" s="97"/>
    </row>
    <row r="109" spans="9:31" ht="15.75" thickBot="1" x14ac:dyDescent="0.3">
      <c r="I109" s="1"/>
      <c r="J109" s="1"/>
      <c r="O109" s="14">
        <f t="shared" si="64"/>
        <v>17.5</v>
      </c>
      <c r="P109" s="20">
        <f t="shared" si="72"/>
        <v>31.923157854101021</v>
      </c>
      <c r="Q109" s="15">
        <f t="shared" si="73"/>
        <v>5.8853055646041603E-2</v>
      </c>
      <c r="R109" s="15"/>
      <c r="S109" s="16">
        <f t="shared" si="74"/>
        <v>5.1297132772954592</v>
      </c>
      <c r="T109" s="28">
        <f t="shared" si="53"/>
        <v>0</v>
      </c>
      <c r="U109" s="15">
        <f t="shared" si="75"/>
        <v>4.8517845858733276E-2</v>
      </c>
      <c r="V109" s="29">
        <f t="shared" si="76"/>
        <v>0</v>
      </c>
      <c r="W109" s="8">
        <f t="shared" si="77"/>
        <v>1.8244194404365928</v>
      </c>
      <c r="X109" s="8">
        <f t="shared" si="82"/>
        <v>1.9663457201951262</v>
      </c>
      <c r="Y109" s="17">
        <f t="shared" si="78"/>
        <v>1.2234892275603364E-2</v>
      </c>
      <c r="Z109" s="18">
        <f t="shared" si="79"/>
        <v>1.4518528531599653</v>
      </c>
      <c r="AA109" s="8">
        <f t="shared" si="80"/>
        <v>38.901869782033501</v>
      </c>
      <c r="AB109" s="19">
        <f t="shared" si="81"/>
        <v>378.43000010876904</v>
      </c>
      <c r="AC109" s="97"/>
      <c r="AD109" s="97"/>
      <c r="AE109" s="97"/>
    </row>
    <row r="110" spans="9:31" ht="15.75" thickBot="1" x14ac:dyDescent="0.3">
      <c r="I110" s="1"/>
      <c r="J110" s="1"/>
      <c r="O110" s="14">
        <f t="shared" si="64"/>
        <v>18</v>
      </c>
      <c r="P110" s="20">
        <f t="shared" si="72"/>
        <v>32.120139619738232</v>
      </c>
      <c r="Q110" s="15">
        <f t="shared" si="73"/>
        <v>5.9029506387614859E-2</v>
      </c>
      <c r="R110" s="15"/>
      <c r="S110" s="16">
        <f t="shared" si="74"/>
        <v>5.1605187666852519</v>
      </c>
      <c r="T110" s="28">
        <f t="shared" si="53"/>
        <v>0</v>
      </c>
      <c r="U110" s="15">
        <f t="shared" si="75"/>
        <v>4.8517845858733276E-2</v>
      </c>
      <c r="V110" s="29">
        <f t="shared" si="76"/>
        <v>0</v>
      </c>
      <c r="W110" s="8">
        <f t="shared" si="77"/>
        <v>1.8318925203656766</v>
      </c>
      <c r="X110" s="8">
        <f t="shared" si="82"/>
        <v>1.9630818273004769</v>
      </c>
      <c r="Y110" s="17">
        <f t="shared" si="78"/>
        <v>1.1309301144151487E-2</v>
      </c>
      <c r="Z110" s="18">
        <f t="shared" si="79"/>
        <v>1.4562057369615482</v>
      </c>
      <c r="AA110" s="8">
        <f t="shared" si="80"/>
        <v>39.018503722213424</v>
      </c>
      <c r="AB110" s="19">
        <f t="shared" si="81"/>
        <v>394.44082447722883</v>
      </c>
      <c r="AC110" s="97"/>
      <c r="AD110" s="97"/>
      <c r="AE110" s="97"/>
    </row>
    <row r="111" spans="9:31" ht="15.75" thickBot="1" x14ac:dyDescent="0.3">
      <c r="I111" s="1"/>
      <c r="J111" s="1"/>
      <c r="O111" s="14">
        <f t="shared" si="64"/>
        <v>18.5</v>
      </c>
      <c r="P111" s="20">
        <f t="shared" si="72"/>
        <v>32.302219368159072</v>
      </c>
      <c r="Q111" s="15">
        <f t="shared" si="73"/>
        <v>5.9192608320072421E-2</v>
      </c>
      <c r="R111" s="15"/>
      <c r="S111" s="16">
        <f t="shared" si="74"/>
        <v>5.1890757868853239</v>
      </c>
      <c r="T111" s="28">
        <f t="shared" si="53"/>
        <v>0</v>
      </c>
      <c r="U111" s="15">
        <f t="shared" si="75"/>
        <v>4.8517845858733276E-2</v>
      </c>
      <c r="V111" s="29">
        <f t="shared" si="76"/>
        <v>0</v>
      </c>
      <c r="W111" s="8">
        <f t="shared" si="77"/>
        <v>1.838820145886936</v>
      </c>
      <c r="X111" s="8">
        <f t="shared" si="82"/>
        <v>1.9600600141617495</v>
      </c>
      <c r="Y111" s="17">
        <f t="shared" si="78"/>
        <v>1.0451600157309813E-2</v>
      </c>
      <c r="Z111" s="18">
        <f t="shared" si="79"/>
        <v>1.4602293174433945</v>
      </c>
      <c r="AA111" s="8">
        <f t="shared" si="80"/>
        <v>39.126314099567871</v>
      </c>
      <c r="AB111" s="19">
        <f t="shared" si="81"/>
        <v>410.54641422420315</v>
      </c>
      <c r="AC111" s="97"/>
      <c r="AD111" s="97"/>
      <c r="AE111" s="97"/>
    </row>
    <row r="112" spans="9:31" ht="15.75" thickBot="1" x14ac:dyDescent="0.3">
      <c r="I112" s="1"/>
      <c r="J112" s="1"/>
      <c r="O112" s="14">
        <f t="shared" si="64"/>
        <v>19</v>
      </c>
      <c r="P112" s="20">
        <f t="shared" ref="P112:P114" si="83">P111+32.2*Y111*(O112-O111)</f>
        <v>32.470490130691758</v>
      </c>
      <c r="Q112" s="15">
        <f t="shared" ref="Q112:Q114" si="84">AA112/661</f>
        <v>5.9343340550225519E-2</v>
      </c>
      <c r="R112" s="15"/>
      <c r="S112" s="16">
        <f t="shared" ref="S112:S114" si="85">1481*Q112^2</f>
        <v>5.2155370922045199</v>
      </c>
      <c r="T112" s="28">
        <f t="shared" si="53"/>
        <v>0</v>
      </c>
      <c r="U112" s="15">
        <f t="shared" ref="U112:U114" si="86">IF(T112&lt;$P$8,T112^2/(PI()*$P$12)+$P$11,99.999)</f>
        <v>4.8517845858733276E-2</v>
      </c>
      <c r="V112" s="29">
        <f t="shared" ref="V112:V114" si="87">T112*S112*$P$13</f>
        <v>0</v>
      </c>
      <c r="W112" s="8">
        <f t="shared" ref="W112:W114" si="88">IF(U112="","",S112*U112*$P$13+$V$12*($P$10-V112))</f>
        <v>1.8452393735504242</v>
      </c>
      <c r="X112" s="8">
        <f t="shared" si="82"/>
        <v>1.9572632425873129</v>
      </c>
      <c r="Y112" s="17">
        <f t="shared" ref="Y112:Y114" si="89">IF(U112="","",(X112-W112)/$P$10)</f>
        <v>9.6571260255289212E-3</v>
      </c>
      <c r="Z112" s="18">
        <f t="shared" ref="Z112:Z114" si="90">Q112/$V$9</f>
        <v>1.4639477483049474</v>
      </c>
      <c r="AA112" s="8">
        <f t="shared" ref="AA112:AA114" si="91">P112*3600/6080+$P$14</f>
        <v>39.225948103699068</v>
      </c>
      <c r="AB112" s="19">
        <f t="shared" ref="AB112:AB114" si="92">AB111+(P112+P111)/2*(O112-O111)</f>
        <v>426.73959159891587</v>
      </c>
      <c r="AC112" s="97"/>
      <c r="AD112" s="97"/>
      <c r="AE112" s="97"/>
    </row>
    <row r="113" spans="9:31" ht="15.75" thickBot="1" x14ac:dyDescent="0.3">
      <c r="I113" s="1"/>
      <c r="J113" s="1"/>
      <c r="O113" s="14">
        <f t="shared" si="64"/>
        <v>19.5</v>
      </c>
      <c r="P113" s="20">
        <f t="shared" si="83"/>
        <v>32.625969859702771</v>
      </c>
      <c r="Q113" s="15">
        <f t="shared" si="84"/>
        <v>5.9482614931256964E-2</v>
      </c>
      <c r="R113" s="15"/>
      <c r="S113" s="16">
        <f t="shared" si="85"/>
        <v>5.2400467704881475</v>
      </c>
      <c r="T113" s="28">
        <f t="shared" si="53"/>
        <v>0</v>
      </c>
      <c r="U113" s="15">
        <f t="shared" si="86"/>
        <v>4.8517845858733276E-2</v>
      </c>
      <c r="V113" s="29">
        <f t="shared" si="87"/>
        <v>0</v>
      </c>
      <c r="W113" s="8">
        <f t="shared" si="88"/>
        <v>1.8511851575154852</v>
      </c>
      <c r="X113" s="8">
        <f t="shared" si="82"/>
        <v>1.9546755369749536</v>
      </c>
      <c r="Y113" s="17">
        <f t="shared" si="89"/>
        <v>8.9214882994337035E-3</v>
      </c>
      <c r="Z113" s="18">
        <f t="shared" si="90"/>
        <v>1.4673835241580946</v>
      </c>
      <c r="AA113" s="8">
        <f t="shared" si="91"/>
        <v>39.318008469560851</v>
      </c>
      <c r="AB113" s="19">
        <f t="shared" si="92"/>
        <v>443.01370659651451</v>
      </c>
      <c r="AC113" s="97"/>
      <c r="AD113" s="97"/>
      <c r="AE113" s="97"/>
    </row>
    <row r="114" spans="9:31" ht="15.75" thickBot="1" x14ac:dyDescent="0.3">
      <c r="I114" s="1"/>
      <c r="J114" s="1"/>
      <c r="O114" s="14">
        <f t="shared" si="64"/>
        <v>20</v>
      </c>
      <c r="P114" s="20">
        <f t="shared" si="83"/>
        <v>32.769605821323651</v>
      </c>
      <c r="Q114" s="15">
        <f t="shared" si="84"/>
        <v>5.9611279997602601E-2</v>
      </c>
      <c r="R114" s="15"/>
      <c r="S114" s="16">
        <f t="shared" si="85"/>
        <v>5.2627404650727652</v>
      </c>
      <c r="T114" s="28">
        <f t="shared" si="53"/>
        <v>0</v>
      </c>
      <c r="U114" s="15">
        <f t="shared" si="86"/>
        <v>4.8517845858733276E-2</v>
      </c>
      <c r="V114" s="29">
        <f t="shared" si="87"/>
        <v>0</v>
      </c>
      <c r="W114" s="8">
        <f t="shared" si="88"/>
        <v>1.8566904033945937</v>
      </c>
      <c r="X114" s="8">
        <f t="shared" si="82"/>
        <v>1.9522819389639015</v>
      </c>
      <c r="Y114" s="17">
        <f t="shared" si="89"/>
        <v>8.2405608188970188E-3</v>
      </c>
      <c r="Z114" s="18">
        <f t="shared" si="90"/>
        <v>1.4705575775972126</v>
      </c>
      <c r="AA114" s="8">
        <f t="shared" si="91"/>
        <v>39.403056078415318</v>
      </c>
      <c r="AB114" s="19">
        <f t="shared" si="92"/>
        <v>459.36260051677112</v>
      </c>
      <c r="AC114" s="97"/>
      <c r="AD114" s="97"/>
      <c r="AE114" s="97"/>
    </row>
    <row r="115" spans="9:31" ht="15.75" thickBot="1" x14ac:dyDescent="0.3">
      <c r="I115" s="1"/>
      <c r="J115" s="1"/>
      <c r="O115" s="14">
        <f t="shared" si="64"/>
        <v>20.5</v>
      </c>
      <c r="P115" s="20">
        <f t="shared" ref="P115:P134" si="93">P114+32.2*Y114*(O115-O114)</f>
        <v>32.902278850507891</v>
      </c>
      <c r="Q115" s="15">
        <f t="shared" ref="Q115:Q134" si="94">AA115/661</f>
        <v>5.9730124776511968E-2</v>
      </c>
      <c r="R115" s="15"/>
      <c r="S115" s="16">
        <f t="shared" ref="S115:S134" si="95">1481*Q115^2</f>
        <v>5.2837456404159973</v>
      </c>
      <c r="T115" s="28">
        <f t="shared" si="53"/>
        <v>0</v>
      </c>
      <c r="U115" s="15">
        <f t="shared" ref="U115:U134" si="96">IF(T115&lt;$P$8,T115^2/(PI()*$P$12)+$P$11,99.999)</f>
        <v>4.8517845858733276E-2</v>
      </c>
      <c r="V115" s="29">
        <f t="shared" ref="V115:V134" si="97">T115*S115*$P$13</f>
        <v>0</v>
      </c>
      <c r="W115" s="8">
        <f t="shared" ref="W115:W134" si="98">IF(U115="","",S115*U115*$P$13+$V$12*($P$10-V115))</f>
        <v>1.8617860326922862</v>
      </c>
      <c r="X115" s="8">
        <f t="shared" si="82"/>
        <v>1.9500684605206631</v>
      </c>
      <c r="Y115" s="17">
        <f t="shared" ref="Y115:Y134" si="99">IF(U115="","",(X115-W115)/$P$10)</f>
        <v>7.6104721137381648E-3</v>
      </c>
      <c r="Z115" s="18">
        <f t="shared" ref="Z115:Z134" si="100">Q115/$V$9</f>
        <v>1.4734893732270007</v>
      </c>
      <c r="AA115" s="8">
        <f t="shared" ref="AA115:AA134" si="101">P115*3600/6080+$P$14</f>
        <v>39.48161247727441</v>
      </c>
      <c r="AB115" s="19">
        <f t="shared" ref="AB115:AB134" si="102">AB114+(P115+P114)/2*(O115-O114)</f>
        <v>475.78057168472901</v>
      </c>
      <c r="AC115" s="97"/>
      <c r="AD115" s="97"/>
      <c r="AE115" s="97"/>
    </row>
    <row r="116" spans="9:31" ht="15.75" thickBot="1" x14ac:dyDescent="0.3">
      <c r="I116" s="1"/>
      <c r="J116" s="1"/>
      <c r="O116" s="14">
        <f t="shared" si="64"/>
        <v>21</v>
      </c>
      <c r="P116" s="20">
        <f t="shared" si="93"/>
        <v>33.024807451539075</v>
      </c>
      <c r="Q116" s="15">
        <f t="shared" si="94"/>
        <v>5.9839882461168448E-2</v>
      </c>
      <c r="R116" s="15"/>
      <c r="S116" s="16">
        <f t="shared" si="95"/>
        <v>5.3031818803233204</v>
      </c>
      <c r="T116" s="28">
        <f t="shared" si="53"/>
        <v>0</v>
      </c>
      <c r="U116" s="15">
        <f t="shared" si="96"/>
        <v>4.8517845858733276E-2</v>
      </c>
      <c r="V116" s="29">
        <f t="shared" si="97"/>
        <v>0</v>
      </c>
      <c r="W116" s="8">
        <f t="shared" si="98"/>
        <v>1.8665010551517707</v>
      </c>
      <c r="X116" s="8">
        <f t="shared" si="82"/>
        <v>1.9480220362362315</v>
      </c>
      <c r="Y116" s="17">
        <f t="shared" si="99"/>
        <v>7.0275950547481888E-3</v>
      </c>
      <c r="Z116" s="18">
        <f t="shared" si="100"/>
        <v>1.4761969982751055</v>
      </c>
      <c r="AA116" s="8">
        <f t="shared" si="101"/>
        <v>39.554162306832346</v>
      </c>
      <c r="AB116" s="19">
        <f t="shared" si="102"/>
        <v>492.26234326024075</v>
      </c>
      <c r="AC116" s="97"/>
      <c r="AD116" s="97"/>
      <c r="AE116" s="97"/>
    </row>
    <row r="117" spans="9:31" ht="15.75" thickBot="1" x14ac:dyDescent="0.3">
      <c r="I117" s="1"/>
      <c r="J117" s="1"/>
      <c r="O117" s="14">
        <f t="shared" si="64"/>
        <v>21.5</v>
      </c>
      <c r="P117" s="20">
        <f t="shared" si="93"/>
        <v>33.137951731920523</v>
      </c>
      <c r="Q117" s="15">
        <f t="shared" si="94"/>
        <v>5.9941233934557359E-2</v>
      </c>
      <c r="R117" s="15"/>
      <c r="S117" s="16">
        <f t="shared" si="95"/>
        <v>5.3211612094096461</v>
      </c>
      <c r="T117" s="28">
        <f t="shared" si="53"/>
        <v>0</v>
      </c>
      <c r="U117" s="15">
        <f t="shared" si="96"/>
        <v>4.8517845858733276E-2</v>
      </c>
      <c r="V117" s="29">
        <f t="shared" si="97"/>
        <v>0</v>
      </c>
      <c r="W117" s="8">
        <f t="shared" si="98"/>
        <v>1.8708626467380398</v>
      </c>
      <c r="X117" s="8">
        <f t="shared" si="82"/>
        <v>1.9461304754756916</v>
      </c>
      <c r="Y117" s="17">
        <f t="shared" si="99"/>
        <v>6.4885360060906085E-3</v>
      </c>
      <c r="Z117" s="18">
        <f t="shared" si="100"/>
        <v>1.4786972495228343</v>
      </c>
      <c r="AA117" s="8">
        <f t="shared" si="101"/>
        <v>39.621155630742415</v>
      </c>
      <c r="AB117" s="19">
        <f t="shared" si="102"/>
        <v>508.80303305610568</v>
      </c>
      <c r="AC117" s="97"/>
      <c r="AD117" s="97"/>
      <c r="AE117" s="97"/>
    </row>
    <row r="118" spans="9:31" ht="15.75" thickBot="1" x14ac:dyDescent="0.3">
      <c r="I118" s="1"/>
      <c r="J118" s="1"/>
      <c r="O118" s="14">
        <f t="shared" si="64"/>
        <v>22</v>
      </c>
      <c r="P118" s="20">
        <f t="shared" si="93"/>
        <v>33.242417161618583</v>
      </c>
      <c r="Q118" s="15">
        <f t="shared" si="94"/>
        <v>6.0034811136890603E-2</v>
      </c>
      <c r="R118" s="15"/>
      <c r="S118" s="16">
        <f t="shared" si="95"/>
        <v>5.3377884299465856</v>
      </c>
      <c r="T118" s="28">
        <f t="shared" si="53"/>
        <v>0</v>
      </c>
      <c r="U118" s="15">
        <f t="shared" si="96"/>
        <v>4.8517845858733276E-2</v>
      </c>
      <c r="V118" s="29">
        <f t="shared" si="97"/>
        <v>0</v>
      </c>
      <c r="W118" s="8">
        <f t="shared" si="98"/>
        <v>1.8748962313533917</v>
      </c>
      <c r="X118" s="8">
        <f t="shared" si="82"/>
        <v>1.9443824149022904</v>
      </c>
      <c r="Y118" s="17">
        <f t="shared" si="99"/>
        <v>5.9901236882273848E-3</v>
      </c>
      <c r="Z118" s="18">
        <f t="shared" si="100"/>
        <v>1.4810057163765411</v>
      </c>
      <c r="AA118" s="8">
        <f t="shared" si="101"/>
        <v>39.683010161484688</v>
      </c>
      <c r="AB118" s="19">
        <f t="shared" si="102"/>
        <v>525.3981252794905</v>
      </c>
      <c r="AC118" s="97"/>
      <c r="AD118" s="97"/>
      <c r="AE118" s="97"/>
    </row>
    <row r="119" spans="9:31" ht="15.75" thickBot="1" x14ac:dyDescent="0.3">
      <c r="I119" s="1"/>
      <c r="J119" s="1"/>
      <c r="O119" s="14">
        <f t="shared" si="64"/>
        <v>22.5</v>
      </c>
      <c r="P119" s="20">
        <f t="shared" si="93"/>
        <v>33.338858152999045</v>
      </c>
      <c r="Q119" s="15">
        <f t="shared" si="94"/>
        <v>6.0121200272413348E-2</v>
      </c>
      <c r="R119" s="15"/>
      <c r="S119" s="16">
        <f t="shared" si="95"/>
        <v>5.3531614675717352</v>
      </c>
      <c r="T119" s="28">
        <f t="shared" si="53"/>
        <v>0</v>
      </c>
      <c r="U119" s="15">
        <f t="shared" si="96"/>
        <v>4.8517845858733276E-2</v>
      </c>
      <c r="V119" s="29">
        <f t="shared" si="97"/>
        <v>0</v>
      </c>
      <c r="W119" s="8">
        <f t="shared" si="98"/>
        <v>1.8786255647027792</v>
      </c>
      <c r="X119" s="8">
        <f t="shared" si="82"/>
        <v>1.9427672717951032</v>
      </c>
      <c r="Y119" s="17">
        <f t="shared" si="99"/>
        <v>5.5293979239296161E-3</v>
      </c>
      <c r="Z119" s="18">
        <f t="shared" si="100"/>
        <v>1.4831368599767145</v>
      </c>
      <c r="AA119" s="8">
        <f t="shared" si="101"/>
        <v>39.740113380065225</v>
      </c>
      <c r="AB119" s="19">
        <f t="shared" si="102"/>
        <v>542.04344410814485</v>
      </c>
      <c r="AC119" s="97"/>
      <c r="AD119" s="97"/>
      <c r="AE119" s="97"/>
    </row>
    <row r="120" spans="9:31" ht="15.75" thickBot="1" x14ac:dyDescent="0.3">
      <c r="I120" s="1"/>
      <c r="J120" s="1"/>
      <c r="O120" s="14">
        <f t="shared" si="64"/>
        <v>23</v>
      </c>
      <c r="P120" s="20">
        <f t="shared" si="93"/>
        <v>33.427881459574309</v>
      </c>
      <c r="Q120" s="15">
        <f t="shared" si="94"/>
        <v>6.0200944853906445E-2</v>
      </c>
      <c r="R120" s="15"/>
      <c r="S120" s="16">
        <f t="shared" si="95"/>
        <v>5.367371720489869</v>
      </c>
      <c r="T120" s="28">
        <f t="shared" si="53"/>
        <v>0</v>
      </c>
      <c r="U120" s="15">
        <f t="shared" si="96"/>
        <v>4.8517845858733276E-2</v>
      </c>
      <c r="V120" s="29">
        <f t="shared" si="97"/>
        <v>0</v>
      </c>
      <c r="W120" s="8">
        <f t="shared" si="98"/>
        <v>1.8820728190062574</v>
      </c>
      <c r="X120" s="8">
        <f t="shared" si="82"/>
        <v>1.9412751984909802</v>
      </c>
      <c r="Y120" s="17">
        <f t="shared" si="99"/>
        <v>5.1035984081829067E-3</v>
      </c>
      <c r="Z120" s="18">
        <f t="shared" si="100"/>
        <v>1.4851040883031605</v>
      </c>
      <c r="AA120" s="8">
        <f t="shared" si="101"/>
        <v>39.792824548432158</v>
      </c>
      <c r="AB120" s="19">
        <f t="shared" si="102"/>
        <v>558.73512901128822</v>
      </c>
      <c r="AC120" s="97"/>
      <c r="AD120" s="97"/>
      <c r="AE120" s="97"/>
    </row>
    <row r="121" spans="9:31" ht="15.75" thickBot="1" x14ac:dyDescent="0.3">
      <c r="I121" s="1"/>
      <c r="J121" s="1"/>
      <c r="O121" s="14">
        <f t="shared" si="64"/>
        <v>23.5</v>
      </c>
      <c r="P121" s="20">
        <f t="shared" si="93"/>
        <v>33.510049393946055</v>
      </c>
      <c r="Q121" s="15">
        <f t="shared" si="94"/>
        <v>6.0274548585229168E-2</v>
      </c>
      <c r="R121" s="15"/>
      <c r="S121" s="16">
        <f t="shared" si="95"/>
        <v>5.3805044077938176</v>
      </c>
      <c r="T121" s="28">
        <f t="shared" si="53"/>
        <v>0</v>
      </c>
      <c r="U121" s="15">
        <f t="shared" si="96"/>
        <v>4.8517845858733276E-2</v>
      </c>
      <c r="V121" s="29">
        <f t="shared" si="97"/>
        <v>0</v>
      </c>
      <c r="W121" s="8">
        <f t="shared" si="98"/>
        <v>1.8852586674978768</v>
      </c>
      <c r="X121" s="8">
        <f t="shared" si="82"/>
        <v>1.9398970382059151</v>
      </c>
      <c r="Y121" s="17">
        <f t="shared" si="99"/>
        <v>4.7101536154169231E-3</v>
      </c>
      <c r="Z121" s="18">
        <f t="shared" si="100"/>
        <v>1.4869198272847832</v>
      </c>
      <c r="AA121" s="8">
        <f t="shared" si="101"/>
        <v>39.841476614836481</v>
      </c>
      <c r="AB121" s="19">
        <f t="shared" si="102"/>
        <v>575.46961172466831</v>
      </c>
      <c r="AC121" s="97"/>
      <c r="AD121" s="97"/>
      <c r="AE121" s="97"/>
    </row>
    <row r="122" spans="9:31" ht="15.75" thickBot="1" x14ac:dyDescent="0.3">
      <c r="I122" s="1"/>
      <c r="J122" s="1"/>
      <c r="O122" s="14">
        <f t="shared" si="64"/>
        <v>24</v>
      </c>
      <c r="P122" s="20">
        <f t="shared" si="93"/>
        <v>33.585882867154268</v>
      </c>
      <c r="Q122" s="15">
        <f t="shared" si="94"/>
        <v>6.0342478083882906E-2</v>
      </c>
      <c r="R122" s="15"/>
      <c r="S122" s="16">
        <f t="shared" si="95"/>
        <v>5.3926389133910595</v>
      </c>
      <c r="T122" s="28">
        <f t="shared" si="53"/>
        <v>0</v>
      </c>
      <c r="U122" s="15">
        <f t="shared" si="96"/>
        <v>4.8517845858733276E-2</v>
      </c>
      <c r="V122" s="29">
        <f t="shared" si="97"/>
        <v>0</v>
      </c>
      <c r="W122" s="8">
        <f t="shared" si="98"/>
        <v>1.8882023678585713</v>
      </c>
      <c r="X122" s="8">
        <f t="shared" si="82"/>
        <v>1.9386242824269506</v>
      </c>
      <c r="Y122" s="17">
        <f t="shared" si="99"/>
        <v>4.3466699340204791E-3</v>
      </c>
      <c r="Z122" s="18">
        <f t="shared" si="100"/>
        <v>1.4885955879628234</v>
      </c>
      <c r="AA122" s="8">
        <f t="shared" si="101"/>
        <v>39.886378013446603</v>
      </c>
      <c r="AB122" s="19">
        <f t="shared" si="102"/>
        <v>592.24359478994336</v>
      </c>
      <c r="AC122" s="97"/>
      <c r="AD122" s="97"/>
      <c r="AE122" s="97"/>
    </row>
    <row r="123" spans="9:31" ht="15.75" thickBot="1" x14ac:dyDescent="0.3">
      <c r="I123" s="1"/>
      <c r="J123" s="1"/>
      <c r="O123" s="14">
        <f t="shared" si="64"/>
        <v>24.5</v>
      </c>
      <c r="P123" s="20">
        <f t="shared" si="93"/>
        <v>33.655864253091998</v>
      </c>
      <c r="Q123" s="15">
        <f t="shared" si="94"/>
        <v>6.0405165446873556E-2</v>
      </c>
      <c r="R123" s="15"/>
      <c r="S123" s="16">
        <f t="shared" si="95"/>
        <v>5.4038491227556316</v>
      </c>
      <c r="T123" s="28">
        <f t="shared" si="53"/>
        <v>0</v>
      </c>
      <c r="U123" s="15">
        <f t="shared" si="96"/>
        <v>4.8517845858733276E-2</v>
      </c>
      <c r="V123" s="29">
        <f t="shared" si="97"/>
        <v>0</v>
      </c>
      <c r="W123" s="8">
        <f t="shared" si="98"/>
        <v>1.8909218439085436</v>
      </c>
      <c r="X123" s="8">
        <f t="shared" si="82"/>
        <v>1.9374490300117972</v>
      </c>
      <c r="Y123" s="17">
        <f t="shared" si="99"/>
        <v>4.010921098113485E-3</v>
      </c>
      <c r="Z123" s="18">
        <f t="shared" si="100"/>
        <v>1.4901420297884174</v>
      </c>
      <c r="AA123" s="8">
        <f t="shared" si="101"/>
        <v>39.927814360383422</v>
      </c>
      <c r="AB123" s="19">
        <f t="shared" si="102"/>
        <v>609.0540315700049</v>
      </c>
      <c r="AC123" s="97"/>
      <c r="AD123" s="97"/>
      <c r="AE123" s="97"/>
    </row>
    <row r="124" spans="9:31" ht="15.75" thickBot="1" x14ac:dyDescent="0.3">
      <c r="I124" s="1"/>
      <c r="J124" s="1"/>
      <c r="O124" s="14">
        <f t="shared" si="64"/>
        <v>25</v>
      </c>
      <c r="P124" s="20">
        <f t="shared" si="93"/>
        <v>33.720440082771624</v>
      </c>
      <c r="Q124" s="15">
        <f t="shared" si="94"/>
        <v>6.0463010664159621E-2</v>
      </c>
      <c r="R124" s="15"/>
      <c r="S124" s="16">
        <f t="shared" si="95"/>
        <v>5.4142037503485092</v>
      </c>
      <c r="T124" s="28">
        <f t="shared" si="53"/>
        <v>0</v>
      </c>
      <c r="U124" s="15">
        <f t="shared" si="96"/>
        <v>4.8517845858733276E-2</v>
      </c>
      <c r="V124" s="29">
        <f t="shared" si="97"/>
        <v>0</v>
      </c>
      <c r="W124" s="8">
        <f t="shared" si="98"/>
        <v>1.893433765035923</v>
      </c>
      <c r="X124" s="8">
        <f t="shared" si="82"/>
        <v>1.9363639480882953</v>
      </c>
      <c r="Y124" s="17">
        <f t="shared" si="99"/>
        <v>3.7008379696229386E-3</v>
      </c>
      <c r="Z124" s="18">
        <f t="shared" si="100"/>
        <v>1.4915690201602263</v>
      </c>
      <c r="AA124" s="8">
        <f t="shared" si="101"/>
        <v>39.96605004900951</v>
      </c>
      <c r="AB124" s="19">
        <f t="shared" si="102"/>
        <v>625.89810765397078</v>
      </c>
      <c r="AC124" s="97"/>
      <c r="AD124" s="97"/>
      <c r="AE124" s="97"/>
    </row>
    <row r="125" spans="9:31" ht="15.75" thickBot="1" x14ac:dyDescent="0.3">
      <c r="I125" s="1"/>
      <c r="J125" s="1"/>
      <c r="O125" s="14">
        <f t="shared" si="64"/>
        <v>25.5</v>
      </c>
      <c r="P125" s="20">
        <f t="shared" si="93"/>
        <v>33.780023574082556</v>
      </c>
      <c r="Q125" s="15">
        <f t="shared" si="94"/>
        <v>6.0516383884738331E-2</v>
      </c>
      <c r="R125" s="15"/>
      <c r="S125" s="16">
        <f t="shared" si="95"/>
        <v>5.4237666560763103</v>
      </c>
      <c r="T125" s="28">
        <f t="shared" si="53"/>
        <v>0</v>
      </c>
      <c r="U125" s="15">
        <f t="shared" si="96"/>
        <v>4.8517845858733276E-2</v>
      </c>
      <c r="V125" s="29">
        <f t="shared" si="97"/>
        <v>0</v>
      </c>
      <c r="W125" s="8">
        <f t="shared" si="98"/>
        <v>1.8957536229662382</v>
      </c>
      <c r="X125" s="8">
        <f t="shared" si="82"/>
        <v>1.9353622348084922</v>
      </c>
      <c r="Y125" s="17">
        <f t="shared" si="99"/>
        <v>3.4144987094754638E-3</v>
      </c>
      <c r="Z125" s="18">
        <f t="shared" si="100"/>
        <v>1.4928856903267778</v>
      </c>
      <c r="AA125" s="8">
        <f t="shared" si="101"/>
        <v>40.001329747812036</v>
      </c>
      <c r="AB125" s="19">
        <f t="shared" si="102"/>
        <v>642.77322356818433</v>
      </c>
      <c r="AC125" s="97"/>
      <c r="AD125" s="97"/>
      <c r="AE125" s="97"/>
    </row>
    <row r="126" spans="9:31" ht="15.75" thickBot="1" x14ac:dyDescent="0.3">
      <c r="I126" s="1"/>
      <c r="J126" s="1"/>
      <c r="O126" s="14">
        <f t="shared" si="64"/>
        <v>26</v>
      </c>
      <c r="P126" s="20">
        <f t="shared" si="93"/>
        <v>33.834997003305112</v>
      </c>
      <c r="Q126" s="15">
        <f t="shared" si="94"/>
        <v>6.0565627540981166E-2</v>
      </c>
      <c r="R126" s="15"/>
      <c r="S126" s="16">
        <f t="shared" si="95"/>
        <v>5.4325971496000598</v>
      </c>
      <c r="T126" s="28">
        <f t="shared" si="53"/>
        <v>0</v>
      </c>
      <c r="U126" s="15">
        <f t="shared" si="96"/>
        <v>4.8517845858733276E-2</v>
      </c>
      <c r="V126" s="29">
        <f t="shared" si="97"/>
        <v>0</v>
      </c>
      <c r="W126" s="8">
        <f t="shared" si="98"/>
        <v>1.8978958055844473</v>
      </c>
      <c r="X126" s="8">
        <f t="shared" si="82"/>
        <v>1.9344375839814532</v>
      </c>
      <c r="Y126" s="17">
        <f t="shared" si="99"/>
        <v>3.1501193648349394E-3</v>
      </c>
      <c r="Z126" s="18">
        <f t="shared" si="100"/>
        <v>1.4941004877919455</v>
      </c>
      <c r="AA126" s="8">
        <f t="shared" si="101"/>
        <v>40.033879804588551</v>
      </c>
      <c r="AB126" s="19">
        <f t="shared" si="102"/>
        <v>659.67697871253131</v>
      </c>
      <c r="AC126" s="97"/>
      <c r="AD126" s="97"/>
      <c r="AE126" s="97"/>
    </row>
    <row r="127" spans="9:31" ht="15.75" thickBot="1" x14ac:dyDescent="0.3">
      <c r="I127" s="1"/>
      <c r="J127" s="1"/>
      <c r="O127" s="14">
        <f t="shared" si="64"/>
        <v>26.5</v>
      </c>
      <c r="P127" s="20">
        <f t="shared" si="93"/>
        <v>33.885713925078953</v>
      </c>
      <c r="Q127" s="15">
        <f t="shared" si="94"/>
        <v>6.061105833721938E-2</v>
      </c>
      <c r="R127" s="15"/>
      <c r="S127" s="16">
        <f t="shared" si="95"/>
        <v>5.4407502816743181</v>
      </c>
      <c r="T127" s="28">
        <f t="shared" si="53"/>
        <v>0</v>
      </c>
      <c r="U127" s="15">
        <f t="shared" si="96"/>
        <v>4.8517845858733276E-2</v>
      </c>
      <c r="V127" s="29">
        <f t="shared" si="97"/>
        <v>0</v>
      </c>
      <c r="W127" s="8">
        <f t="shared" si="98"/>
        <v>1.8998736676106711</v>
      </c>
      <c r="X127" s="8">
        <f t="shared" si="82"/>
        <v>1.9335841515839878</v>
      </c>
      <c r="Y127" s="17">
        <f t="shared" si="99"/>
        <v>2.9060448894573693E-3</v>
      </c>
      <c r="Z127" s="18">
        <f t="shared" si="100"/>
        <v>1.495221225371596</v>
      </c>
      <c r="AA127" s="8">
        <f t="shared" si="101"/>
        <v>40.063909560902012</v>
      </c>
      <c r="AB127" s="19">
        <f t="shared" si="102"/>
        <v>676.60715644462732</v>
      </c>
      <c r="AC127" s="97"/>
      <c r="AD127" s="97"/>
      <c r="AE127" s="97"/>
    </row>
    <row r="128" spans="9:31" ht="15.75" thickBot="1" x14ac:dyDescent="0.3">
      <c r="I128" s="1"/>
      <c r="J128" s="1"/>
      <c r="O128" s="14">
        <f t="shared" si="64"/>
        <v>27</v>
      </c>
      <c r="P128" s="20">
        <f t="shared" si="93"/>
        <v>33.932501247799216</v>
      </c>
      <c r="Q128" s="15">
        <f t="shared" si="94"/>
        <v>6.065296910882563E-2</v>
      </c>
      <c r="R128" s="15"/>
      <c r="S128" s="16">
        <f t="shared" si="95"/>
        <v>5.4482771220016275</v>
      </c>
      <c r="T128" s="28">
        <f t="shared" si="53"/>
        <v>0</v>
      </c>
      <c r="U128" s="15">
        <f t="shared" si="96"/>
        <v>4.8517845858733276E-2</v>
      </c>
      <c r="V128" s="29">
        <f t="shared" si="97"/>
        <v>0</v>
      </c>
      <c r="W128" s="8">
        <f t="shared" si="98"/>
        <v>1.9016995980046896</v>
      </c>
      <c r="X128" s="8">
        <f t="shared" si="82"/>
        <v>1.9327965241284846</v>
      </c>
      <c r="Y128" s="17">
        <f t="shared" si="99"/>
        <v>2.6807406061395891E-3</v>
      </c>
      <c r="Z128" s="18">
        <f t="shared" si="100"/>
        <v>1.4962551270554887</v>
      </c>
      <c r="AA128" s="8">
        <f t="shared" si="101"/>
        <v>40.091612580933742</v>
      </c>
      <c r="AB128" s="19">
        <f t="shared" si="102"/>
        <v>693.56171023784691</v>
      </c>
      <c r="AC128" s="97"/>
      <c r="AD128" s="97"/>
      <c r="AE128" s="97"/>
    </row>
    <row r="129" spans="9:31" ht="15.75" thickBot="1" x14ac:dyDescent="0.3">
      <c r="I129" s="1"/>
      <c r="J129" s="1"/>
      <c r="O129" s="14">
        <f t="shared" si="64"/>
        <v>27.5</v>
      </c>
      <c r="P129" s="20">
        <f t="shared" si="93"/>
        <v>33.975661171558066</v>
      </c>
      <c r="Q129" s="15">
        <f t="shared" si="94"/>
        <v>6.069163055816771E-2</v>
      </c>
      <c r="R129" s="15"/>
      <c r="S129" s="16">
        <f t="shared" si="95"/>
        <v>5.4552250233373014</v>
      </c>
      <c r="T129" s="28">
        <f t="shared" si="53"/>
        <v>0</v>
      </c>
      <c r="U129" s="15">
        <f t="shared" si="96"/>
        <v>4.8517845858733276E-2</v>
      </c>
      <c r="V129" s="29">
        <f t="shared" si="97"/>
        <v>0</v>
      </c>
      <c r="W129" s="8">
        <f t="shared" si="98"/>
        <v>1.9033850840349191</v>
      </c>
      <c r="X129" s="8">
        <f t="shared" si="82"/>
        <v>1.9320696888512303</v>
      </c>
      <c r="Y129" s="17">
        <f t="shared" si="99"/>
        <v>2.472784113646292E-3</v>
      </c>
      <c r="Z129" s="18">
        <f t="shared" si="100"/>
        <v>1.4972088708317197</v>
      </c>
      <c r="AA129" s="8">
        <f t="shared" si="101"/>
        <v>40.117167798948856</v>
      </c>
      <c r="AB129" s="19">
        <f t="shared" si="102"/>
        <v>710.53875084268623</v>
      </c>
      <c r="AC129" s="97"/>
      <c r="AD129" s="97"/>
      <c r="AE129" s="97"/>
    </row>
    <row r="130" spans="9:31" ht="15.75" thickBot="1" x14ac:dyDescent="0.3">
      <c r="I130" s="1"/>
      <c r="J130" s="1"/>
      <c r="O130" s="14">
        <f t="shared" si="64"/>
        <v>28</v>
      </c>
      <c r="P130" s="20">
        <f t="shared" si="93"/>
        <v>34.015472995787775</v>
      </c>
      <c r="Q130" s="15">
        <f t="shared" si="94"/>
        <v>6.072729287384445E-2</v>
      </c>
      <c r="R130" s="15"/>
      <c r="S130" s="16">
        <f t="shared" si="95"/>
        <v>5.4616378717825906</v>
      </c>
      <c r="T130" s="28">
        <f t="shared" si="53"/>
        <v>0</v>
      </c>
      <c r="U130" s="15">
        <f t="shared" si="96"/>
        <v>4.8517845858733276E-2</v>
      </c>
      <c r="V130" s="29">
        <f t="shared" si="97"/>
        <v>0</v>
      </c>
      <c r="W130" s="8">
        <f t="shared" si="98"/>
        <v>1.9049407719968388</v>
      </c>
      <c r="X130" s="8">
        <f t="shared" si="82"/>
        <v>1.9313990056723294</v>
      </c>
      <c r="Y130" s="17">
        <f t="shared" si="99"/>
        <v>2.2808576351970871E-3</v>
      </c>
      <c r="Z130" s="18">
        <f t="shared" si="100"/>
        <v>1.4980886286318409</v>
      </c>
      <c r="AA130" s="8">
        <f t="shared" si="101"/>
        <v>40.140740589611184</v>
      </c>
      <c r="AB130" s="19">
        <f t="shared" si="102"/>
        <v>727.53653438452272</v>
      </c>
      <c r="AC130" s="97"/>
      <c r="AD130" s="97"/>
      <c r="AE130" s="97"/>
    </row>
    <row r="131" spans="9:31" ht="15.75" thickBot="1" x14ac:dyDescent="0.3">
      <c r="I131" s="1"/>
      <c r="J131" s="1"/>
      <c r="O131" s="14">
        <f t="shared" si="64"/>
        <v>28.5</v>
      </c>
      <c r="P131" s="20">
        <f t="shared" si="93"/>
        <v>34.05219480371445</v>
      </c>
      <c r="Q131" s="15">
        <f t="shared" si="94"/>
        <v>6.0760187239572216E-2</v>
      </c>
      <c r="R131" s="15"/>
      <c r="S131" s="16">
        <f t="shared" si="95"/>
        <v>5.4675563233674422</v>
      </c>
      <c r="T131" s="28">
        <f t="shared" si="53"/>
        <v>0</v>
      </c>
      <c r="U131" s="15">
        <f t="shared" si="96"/>
        <v>4.8517845858733276E-2</v>
      </c>
      <c r="V131" s="29">
        <f t="shared" si="97"/>
        <v>0</v>
      </c>
      <c r="W131" s="8">
        <f t="shared" si="98"/>
        <v>1.9063765246054198</v>
      </c>
      <c r="X131" s="8">
        <f t="shared" si="82"/>
        <v>1.9307801808690535</v>
      </c>
      <c r="Y131" s="17">
        <f t="shared" si="99"/>
        <v>2.103740801382193E-3</v>
      </c>
      <c r="Z131" s="18">
        <f t="shared" si="100"/>
        <v>1.4989001035537544</v>
      </c>
      <c r="AA131" s="8">
        <f t="shared" si="101"/>
        <v>40.162483765357237</v>
      </c>
      <c r="AB131" s="19">
        <f t="shared" si="102"/>
        <v>744.55345133439823</v>
      </c>
      <c r="AC131" s="97"/>
      <c r="AD131" s="97"/>
      <c r="AE131" s="97"/>
    </row>
    <row r="132" spans="9:31" ht="15.75" thickBot="1" x14ac:dyDescent="0.3">
      <c r="I132" s="1"/>
      <c r="J132" s="1"/>
      <c r="O132" s="14">
        <f t="shared" si="64"/>
        <v>29</v>
      </c>
      <c r="P132" s="20">
        <f t="shared" si="93"/>
        <v>34.086065030616702</v>
      </c>
      <c r="Q132" s="15">
        <f t="shared" si="94"/>
        <v>6.0790527238987015E-2</v>
      </c>
      <c r="R132" s="15"/>
      <c r="S132" s="16">
        <f t="shared" si="95"/>
        <v>5.473018027153147</v>
      </c>
      <c r="T132" s="28">
        <f t="shared" si="53"/>
        <v>0</v>
      </c>
      <c r="U132" s="15">
        <f t="shared" si="96"/>
        <v>4.8517845858733276E-2</v>
      </c>
      <c r="V132" s="29">
        <f t="shared" si="97"/>
        <v>0</v>
      </c>
      <c r="W132" s="8">
        <f t="shared" si="98"/>
        <v>1.9077014751174244</v>
      </c>
      <c r="X132" s="8">
        <f t="shared" si="82"/>
        <v>1.9302092423976807</v>
      </c>
      <c r="Y132" s="17">
        <f t="shared" si="99"/>
        <v>1.9403038570925983E-3</v>
      </c>
      <c r="Z132" s="18">
        <f t="shared" si="100"/>
        <v>1.49964856451694</v>
      </c>
      <c r="AA132" s="8">
        <f t="shared" si="101"/>
        <v>40.182538504970417</v>
      </c>
      <c r="AB132" s="19">
        <f t="shared" si="102"/>
        <v>761.58801629298102</v>
      </c>
      <c r="AC132" s="97"/>
      <c r="AD132" s="97"/>
      <c r="AE132" s="97"/>
    </row>
    <row r="133" spans="9:31" ht="15.75" thickBot="1" x14ac:dyDescent="0.3">
      <c r="I133" s="1"/>
      <c r="J133" s="1"/>
      <c r="O133" s="14">
        <f t="shared" si="64"/>
        <v>29.5</v>
      </c>
      <c r="P133" s="20">
        <f t="shared" si="93"/>
        <v>34.117303922715891</v>
      </c>
      <c r="Q133" s="15">
        <f t="shared" si="94"/>
        <v>6.0818510162477413E-2</v>
      </c>
      <c r="R133" s="15"/>
      <c r="S133" s="16">
        <f t="shared" si="95"/>
        <v>5.4780578351857683</v>
      </c>
      <c r="T133" s="28">
        <f t="shared" si="53"/>
        <v>0</v>
      </c>
      <c r="U133" s="15">
        <f t="shared" si="96"/>
        <v>4.8517845858733276E-2</v>
      </c>
      <c r="V133" s="29">
        <f t="shared" si="97"/>
        <v>0</v>
      </c>
      <c r="W133" s="8">
        <f t="shared" si="98"/>
        <v>1.9089240782638459</v>
      </c>
      <c r="X133" s="8">
        <f t="shared" si="82"/>
        <v>1.9296825167941822</v>
      </c>
      <c r="Y133" s="17">
        <f t="shared" si="99"/>
        <v>1.7895012795410674E-3</v>
      </c>
      <c r="Z133" s="18">
        <f t="shared" si="100"/>
        <v>1.5003388785008669</v>
      </c>
      <c r="AA133" s="8">
        <f t="shared" si="101"/>
        <v>40.201035217397568</v>
      </c>
      <c r="AB133" s="19">
        <f t="shared" si="102"/>
        <v>778.63885853131421</v>
      </c>
      <c r="AC133" s="97"/>
      <c r="AD133" s="97"/>
      <c r="AE133" s="97"/>
    </row>
    <row r="134" spans="9:31" ht="15.75" thickBot="1" x14ac:dyDescent="0.3">
      <c r="O134" s="14">
        <f t="shared" si="64"/>
        <v>30</v>
      </c>
      <c r="P134" s="20">
        <f t="shared" si="93"/>
        <v>34.146114893316501</v>
      </c>
      <c r="Q134" s="15">
        <f t="shared" si="94"/>
        <v>6.0844318221977126E-2</v>
      </c>
      <c r="R134" s="15"/>
      <c r="S134" s="16">
        <f t="shared" si="95"/>
        <v>5.4827079997077792</v>
      </c>
      <c r="T134" s="28">
        <f t="shared" si="53"/>
        <v>0</v>
      </c>
      <c r="U134" s="15">
        <f t="shared" si="96"/>
        <v>4.8517845858733276E-2</v>
      </c>
      <c r="V134" s="29">
        <f t="shared" si="97"/>
        <v>0</v>
      </c>
      <c r="W134" s="8">
        <f t="shared" si="98"/>
        <v>1.9100521580913292</v>
      </c>
      <c r="X134" s="8">
        <f t="shared" si="82"/>
        <v>1.9291966075811162</v>
      </c>
      <c r="Y134" s="17">
        <f t="shared" si="99"/>
        <v>1.6503657925916314E-3</v>
      </c>
      <c r="Z134" s="18">
        <f t="shared" si="100"/>
        <v>1.5009755405128538</v>
      </c>
      <c r="AA134" s="8">
        <f t="shared" si="101"/>
        <v>40.218094344726879</v>
      </c>
      <c r="AB134" s="19">
        <f t="shared" si="102"/>
        <v>795.70471323532229</v>
      </c>
      <c r="AC134" s="97"/>
      <c r="AD134" s="97"/>
      <c r="AE134" s="97"/>
    </row>
  </sheetData>
  <sortState ref="I3:J122">
    <sortCondition ref="J3:J122"/>
  </sortState>
  <mergeCells count="1">
    <mergeCell ref="O7:Q7"/>
  </mergeCells>
  <conditionalFormatting sqref="Z74:Z134">
    <cfRule type="colorScale" priority="24">
      <colorScale>
        <cfvo type="min"/>
        <cfvo type="num" val="1"/>
        <cfvo type="num" val="1.2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num" val="1.2"/>
        <color rgb="FFFF7128"/>
        <color rgb="FF00B050"/>
      </colorScale>
    </cfRule>
  </conditionalFormatting>
  <conditionalFormatting sqref="Z74">
    <cfRule type="colorScale" priority="29">
      <colorScale>
        <cfvo type="min"/>
        <cfvo type="num" val="1.5"/>
        <color rgb="FFFF7128"/>
        <color rgb="FF00B050"/>
      </colorScale>
    </cfRule>
  </conditionalFormatting>
  <conditionalFormatting sqref="AB74:AE13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74:V13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4:W13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Y134">
    <cfRule type="colorScale" priority="12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sqref="AF20:AF68">
    <cfRule type="colorScale" priority="9">
      <colorScale>
        <cfvo type="num" val="2"/>
        <cfvo type="num" val="3"/>
        <cfvo type="num" val="6"/>
        <color rgb="FFF8696B"/>
        <color rgb="FFFFEB84"/>
        <color rgb="FF63BE7B"/>
      </colorScale>
    </cfRule>
  </conditionalFormatting>
  <conditionalFormatting sqref="AF18:AF68">
    <cfRule type="colorScale" priority="3">
      <colorScale>
        <cfvo type="num" val="1"/>
        <cfvo type="num" val="3"/>
        <cfvo type="num" val="6"/>
        <color rgb="FFF8696B"/>
        <color rgb="FFFFEB84"/>
        <color rgb="FF63BE7B"/>
      </colorScale>
    </cfRule>
  </conditionalFormatting>
  <conditionalFormatting sqref="X74:X1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6:X68">
    <cfRule type="colorScale" priority="152">
      <colorScale>
        <cfvo type="min"/>
        <cfvo type="num" val="1"/>
        <cfvo type="num" val="1.4"/>
        <color rgb="FFF8696B"/>
        <color rgb="FFFFEB84"/>
        <color rgb="FF63BE7B"/>
      </colorScale>
    </cfRule>
    <cfRule type="colorScale" priority="153">
      <colorScale>
        <cfvo type="min"/>
        <cfvo type="num" val="1"/>
        <cfvo type="max"/>
        <color rgb="FFF8696B"/>
        <color rgb="FFFFEB84"/>
        <color rgb="FF63BE7B"/>
      </colorScale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6:Y68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6:Z68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6:AA68">
    <cfRule type="colorScale" priority="162">
      <colorScale>
        <cfvo type="num" val="0"/>
        <cfvo type="num" val="1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68">
    <cfRule type="colorScale" priority="166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:V68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6:U68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E68">
    <cfRule type="colorScale" priority="174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6:AG68">
    <cfRule type="colorScale" priority="178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H68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1:AH68">
    <cfRule type="colorScale" priority="184">
      <colorScale>
        <cfvo type="num" val="0"/>
        <cfvo type="num" val="300"/>
        <cfvo type="max"/>
        <color rgb="FFF8696B"/>
        <color rgb="FFFFEB84"/>
        <color rgb="FF63BE7B"/>
      </colorScale>
    </cfRule>
  </conditionalFormatting>
  <conditionalFormatting sqref="AF16:AF68">
    <cfRule type="colorScale" priority="186">
      <colorScale>
        <cfvo type="num" val="1"/>
        <cfvo type="num" val="2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2"/>
  <sheetViews>
    <sheetView workbookViewId="0">
      <selection activeCell="F34" sqref="F34"/>
    </sheetView>
  </sheetViews>
  <sheetFormatPr defaultRowHeight="15" x14ac:dyDescent="0.25"/>
  <cols>
    <col min="1" max="1" width="15.28515625" bestFit="1" customWidth="1"/>
    <col min="2" max="2" width="21.5703125" customWidth="1"/>
    <col min="3" max="3" width="15.85546875" bestFit="1" customWidth="1"/>
    <col min="4" max="4" width="18" bestFit="1" customWidth="1"/>
    <col min="5" max="5" width="11.140625" bestFit="1" customWidth="1"/>
    <col min="6" max="6" width="18.28515625" style="40" bestFit="1" customWidth="1"/>
    <col min="7" max="7" width="22" bestFit="1" customWidth="1"/>
    <col min="8" max="8" width="5.85546875" bestFit="1" customWidth="1"/>
    <col min="9" max="9" width="20.5703125" bestFit="1" customWidth="1"/>
    <col min="10" max="10" width="20.85546875" bestFit="1" customWidth="1"/>
    <col min="11" max="11" width="6" bestFit="1" customWidth="1"/>
    <col min="12" max="12" width="21.140625" bestFit="1" customWidth="1"/>
    <col min="16" max="16" width="11.28515625" bestFit="1" customWidth="1"/>
  </cols>
  <sheetData>
    <row r="1" spans="1:16" x14ac:dyDescent="0.25">
      <c r="A1" s="59" t="s">
        <v>136</v>
      </c>
      <c r="B1" s="60" t="s">
        <v>137</v>
      </c>
      <c r="C1" s="60" t="s">
        <v>138</v>
      </c>
      <c r="D1" s="60" t="s">
        <v>139</v>
      </c>
      <c r="E1" s="60" t="s">
        <v>140</v>
      </c>
      <c r="F1" s="63" t="s">
        <v>151</v>
      </c>
      <c r="G1" s="59" t="s">
        <v>148</v>
      </c>
      <c r="H1" s="61">
        <f>IF($A2*$M2+2.5&gt;$D2*$M3,$A2*$M2+2.5,$D2*$M3)</f>
        <v>10.5</v>
      </c>
      <c r="I1" s="61" t="str">
        <f>IF($A2*$M2+2.5&gt;$D2*$M3,"Passenger Dominated","Cargo Dominated")</f>
        <v>Passenger Dominated</v>
      </c>
      <c r="J1" s="59"/>
      <c r="K1" s="62"/>
      <c r="L1" s="59"/>
      <c r="M1" s="60" t="s">
        <v>124</v>
      </c>
      <c r="N1" s="60" t="s">
        <v>123</v>
      </c>
      <c r="O1" s="60" t="s">
        <v>125</v>
      </c>
      <c r="P1" s="63" t="s">
        <v>141</v>
      </c>
    </row>
    <row r="2" spans="1:16" x14ac:dyDescent="0.25">
      <c r="A2" s="64">
        <v>4</v>
      </c>
      <c r="B2" s="65">
        <v>13</v>
      </c>
      <c r="C2" s="66">
        <f>$B2*$A2</f>
        <v>52</v>
      </c>
      <c r="D2" s="65">
        <v>2</v>
      </c>
      <c r="E2" s="65">
        <v>2</v>
      </c>
      <c r="F2" s="74">
        <f>E2*D2</f>
        <v>4</v>
      </c>
      <c r="G2" s="67" t="s">
        <v>149</v>
      </c>
      <c r="H2" s="68">
        <f>IF(($B$2*(2.5))&gt;($E$2*$N$3),$B$2*(2.5),$E$2*$N$3)</f>
        <v>32.5</v>
      </c>
      <c r="I2" s="68" t="str">
        <f>IF(($B$2*(2.5))&gt;($E$2*$N$3),"Passenger Dominated","Cargo Dominated")</f>
        <v>Passenger Dominated</v>
      </c>
      <c r="J2" s="67" t="s">
        <v>142</v>
      </c>
      <c r="K2" s="69">
        <f>(P2*$B2*$A2)/16</f>
        <v>4.0901249999999996</v>
      </c>
      <c r="L2" s="67" t="s">
        <v>143</v>
      </c>
      <c r="M2" s="70">
        <v>2</v>
      </c>
      <c r="N2" s="68">
        <v>2</v>
      </c>
      <c r="O2" s="68">
        <v>2</v>
      </c>
      <c r="P2" s="69">
        <v>1.2585</v>
      </c>
    </row>
    <row r="3" spans="1:16" x14ac:dyDescent="0.25">
      <c r="A3" s="40"/>
      <c r="B3" s="40"/>
      <c r="C3" s="40"/>
      <c r="D3" s="40"/>
      <c r="E3" s="40"/>
      <c r="G3" s="67" t="s">
        <v>150</v>
      </c>
      <c r="H3" s="68">
        <f>$O$3+$O$2</f>
        <v>4.5</v>
      </c>
      <c r="I3" s="68"/>
      <c r="J3" s="67" t="s">
        <v>144</v>
      </c>
      <c r="K3" s="69">
        <f>$E2*$D2*P3/16</f>
        <v>2</v>
      </c>
      <c r="L3" s="72" t="s">
        <v>145</v>
      </c>
      <c r="M3" s="65">
        <v>2.5</v>
      </c>
      <c r="N3" s="65">
        <v>4</v>
      </c>
      <c r="O3" s="65">
        <v>2.5</v>
      </c>
      <c r="P3" s="74">
        <v>8</v>
      </c>
    </row>
    <row r="4" spans="1:16" x14ac:dyDescent="0.25">
      <c r="A4" s="40"/>
      <c r="B4" s="40"/>
      <c r="C4" s="40"/>
      <c r="D4" s="40"/>
      <c r="E4" s="40"/>
      <c r="G4" s="72"/>
      <c r="H4" s="66"/>
      <c r="I4" s="66"/>
      <c r="J4" s="67" t="s">
        <v>146</v>
      </c>
      <c r="K4" s="69">
        <f>K3+(K2/2)+K1</f>
        <v>4.0450625000000002</v>
      </c>
      <c r="L4" s="40"/>
    </row>
    <row r="5" spans="1:16" x14ac:dyDescent="0.25">
      <c r="A5" s="40"/>
      <c r="B5" s="40"/>
      <c r="C5" s="40"/>
      <c r="D5" s="40"/>
      <c r="E5" s="40"/>
      <c r="G5" s="59" t="s">
        <v>152</v>
      </c>
      <c r="H5" s="62">
        <v>0.5</v>
      </c>
      <c r="I5" s="75"/>
      <c r="J5" s="72" t="s">
        <v>147</v>
      </c>
      <c r="K5" s="74">
        <f>SUM(K1:K3)</f>
        <v>6.0901249999999996</v>
      </c>
      <c r="L5" s="40"/>
    </row>
    <row r="6" spans="1:16" x14ac:dyDescent="0.25">
      <c r="A6" s="40"/>
      <c r="B6" s="40"/>
      <c r="C6" s="40"/>
      <c r="D6" s="40"/>
      <c r="E6" s="40"/>
      <c r="G6" s="67" t="s">
        <v>162</v>
      </c>
      <c r="H6" s="71">
        <v>18</v>
      </c>
      <c r="I6" s="75"/>
      <c r="J6" s="40"/>
      <c r="K6" s="40"/>
      <c r="L6" s="40"/>
      <c r="M6" s="40"/>
      <c r="N6" s="40"/>
    </row>
    <row r="7" spans="1:16" x14ac:dyDescent="0.25">
      <c r="C7" t="s">
        <v>160</v>
      </c>
      <c r="G7" s="67" t="s">
        <v>161</v>
      </c>
      <c r="H7" s="71">
        <v>4</v>
      </c>
      <c r="I7" s="75"/>
    </row>
    <row r="8" spans="1:16" x14ac:dyDescent="0.25">
      <c r="G8" s="72" t="s">
        <v>153</v>
      </c>
      <c r="H8" s="73">
        <v>1</v>
      </c>
    </row>
    <row r="9" spans="1:16" x14ac:dyDescent="0.25">
      <c r="G9" s="59" t="s">
        <v>154</v>
      </c>
      <c r="H9" s="76">
        <f>H5+H1</f>
        <v>11</v>
      </c>
    </row>
    <row r="10" spans="1:16" x14ac:dyDescent="0.25">
      <c r="G10" s="67" t="s">
        <v>155</v>
      </c>
      <c r="H10" s="69">
        <f>H6+H2+H7</f>
        <v>54.5</v>
      </c>
    </row>
    <row r="11" spans="1:16" x14ac:dyDescent="0.25">
      <c r="G11" s="72" t="s">
        <v>156</v>
      </c>
      <c r="H11" s="74">
        <f>H3+H8</f>
        <v>5.5</v>
      </c>
    </row>
    <row r="13" spans="1:16" x14ac:dyDescent="0.25">
      <c r="A13" s="92" t="s">
        <v>163</v>
      </c>
      <c r="B13" s="93"/>
      <c r="C13" s="94"/>
      <c r="D13" s="92" t="s">
        <v>183</v>
      </c>
      <c r="E13" s="93"/>
      <c r="F13" s="95"/>
    </row>
    <row r="14" spans="1:16" x14ac:dyDescent="0.25">
      <c r="A14" s="81" t="s">
        <v>181</v>
      </c>
      <c r="B14" s="82" t="s">
        <v>182</v>
      </c>
      <c r="C14" s="82" t="s">
        <v>103</v>
      </c>
      <c r="D14" s="59" t="s">
        <v>168</v>
      </c>
      <c r="E14" s="62">
        <v>1.25</v>
      </c>
      <c r="F14" s="63" t="s">
        <v>176</v>
      </c>
    </row>
    <row r="15" spans="1:16" x14ac:dyDescent="0.25">
      <c r="A15" s="67" t="s">
        <v>164</v>
      </c>
      <c r="B15" s="68">
        <f>((H9+E14)/2)*CRUD_LENGTH+2*((E15+H11)/2)*CRUD_LENGTH+((E14+H9)/2)*SQRT((H11-E15)^2+CRUD_LENGTH^2)</f>
        <v>361.78267955852209</v>
      </c>
      <c r="C15" s="68">
        <f>SWET_tail/144</f>
        <v>2.5123797191564035</v>
      </c>
      <c r="D15" s="67" t="s">
        <v>169</v>
      </c>
      <c r="E15" s="71">
        <v>2.25</v>
      </c>
      <c r="F15" s="69">
        <f>E14*E15</f>
        <v>2.8125</v>
      </c>
    </row>
    <row r="16" spans="1:16" x14ac:dyDescent="0.25">
      <c r="A16" s="67" t="s">
        <v>167</v>
      </c>
      <c r="B16" s="68">
        <f>4*H2*H11</f>
        <v>715</v>
      </c>
      <c r="C16" s="68">
        <f>SWET_mid/144</f>
        <v>4.9652777777777777</v>
      </c>
      <c r="D16" s="67" t="s">
        <v>170</v>
      </c>
      <c r="E16" s="71">
        <v>1</v>
      </c>
      <c r="F16" s="83" t="s">
        <v>177</v>
      </c>
    </row>
    <row r="17" spans="1:6" x14ac:dyDescent="0.25">
      <c r="A17" s="67" t="s">
        <v>165</v>
      </c>
      <c r="B17" s="68">
        <f>SQRT(CRUD_LENGTH_nose^2+(H9/2)^2)*H11+SQRT(CRUD_LENGTH_nose^2+(H11/2)^2)*H9</f>
        <v>90.799385456128363</v>
      </c>
      <c r="C17" s="68">
        <f>SWET_nose/144</f>
        <v>0.63055128788978032</v>
      </c>
      <c r="D17" s="67" t="s">
        <v>171</v>
      </c>
      <c r="E17" s="71">
        <v>2</v>
      </c>
      <c r="F17" s="69">
        <f>E16*E17</f>
        <v>2</v>
      </c>
    </row>
    <row r="18" spans="1:6" x14ac:dyDescent="0.25">
      <c r="A18" s="72" t="s">
        <v>166</v>
      </c>
      <c r="B18" s="66">
        <f>SUM(B15:B17)</f>
        <v>1167.5820650146504</v>
      </c>
      <c r="C18" s="66">
        <f>SWET_fuse/144</f>
        <v>8.1082087848239617</v>
      </c>
      <c r="D18" s="67" t="s">
        <v>172</v>
      </c>
      <c r="E18" s="71">
        <v>1.5</v>
      </c>
      <c r="F18" s="83" t="s">
        <v>178</v>
      </c>
    </row>
    <row r="19" spans="1:6" x14ac:dyDescent="0.25">
      <c r="D19" s="67" t="s">
        <v>173</v>
      </c>
      <c r="E19" s="71">
        <v>0.5</v>
      </c>
      <c r="F19" s="69">
        <f>E18*E19</f>
        <v>0.75</v>
      </c>
    </row>
    <row r="20" spans="1:6" x14ac:dyDescent="0.25">
      <c r="D20" s="67" t="s">
        <v>174</v>
      </c>
      <c r="E20" s="71">
        <v>1.25</v>
      </c>
      <c r="F20" s="83" t="s">
        <v>179</v>
      </c>
    </row>
    <row r="21" spans="1:6" x14ac:dyDescent="0.25">
      <c r="D21" s="72" t="s">
        <v>175</v>
      </c>
      <c r="E21" s="73">
        <v>2.25</v>
      </c>
      <c r="F21" s="74">
        <f>E20*E21</f>
        <v>2.8125</v>
      </c>
    </row>
    <row r="22" spans="1:6" x14ac:dyDescent="0.25">
      <c r="D22" s="90" t="s">
        <v>180</v>
      </c>
      <c r="E22" s="91"/>
      <c r="F22" s="80">
        <f>F15+F17+F19+F21</f>
        <v>8.375</v>
      </c>
    </row>
  </sheetData>
  <mergeCells count="3">
    <mergeCell ref="D22:E22"/>
    <mergeCell ref="A13:C13"/>
    <mergeCell ref="D13:F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0"/>
  <sheetViews>
    <sheetView workbookViewId="0">
      <selection activeCell="R14" sqref="R14"/>
    </sheetView>
  </sheetViews>
  <sheetFormatPr defaultRowHeight="15" x14ac:dyDescent="0.25"/>
  <cols>
    <col min="1" max="1" width="16.140625" customWidth="1"/>
    <col min="2" max="2" width="6.28515625" customWidth="1"/>
    <col min="3" max="3" width="7.140625" customWidth="1"/>
    <col min="7" max="7" width="12.140625" customWidth="1"/>
    <col min="8" max="8" width="7.7109375" customWidth="1"/>
    <col min="10" max="10" width="11.5703125" customWidth="1"/>
  </cols>
  <sheetData>
    <row r="1" spans="1:19" ht="18.75" x14ac:dyDescent="0.3">
      <c r="A1" s="42" t="s">
        <v>95</v>
      </c>
    </row>
    <row r="2" spans="1:19" x14ac:dyDescent="0.25">
      <c r="A2" s="40"/>
      <c r="B2" s="40"/>
      <c r="C2" s="40"/>
      <c r="D2" s="40"/>
      <c r="E2" s="40"/>
      <c r="F2" s="40"/>
      <c r="G2" s="40"/>
      <c r="H2" s="40"/>
    </row>
    <row r="3" spans="1:19" x14ac:dyDescent="0.25">
      <c r="L3" t="s">
        <v>184</v>
      </c>
      <c r="M3" s="40" t="s">
        <v>109</v>
      </c>
      <c r="N3" s="40">
        <f>N13*(N14+N15)*2*0.7</f>
        <v>8.7427083333333329</v>
      </c>
      <c r="O3" s="40" t="s">
        <v>103</v>
      </c>
    </row>
    <row r="4" spans="1:19" x14ac:dyDescent="0.25">
      <c r="A4" t="s">
        <v>96</v>
      </c>
    </row>
    <row r="5" spans="1:19" x14ac:dyDescent="0.25">
      <c r="A5" t="s">
        <v>97</v>
      </c>
      <c r="C5">
        <v>50</v>
      </c>
    </row>
    <row r="6" spans="1:19" x14ac:dyDescent="0.25">
      <c r="A6" t="s">
        <v>98</v>
      </c>
      <c r="C6">
        <f>C5/660.8</f>
        <v>7.5665859564164648E-2</v>
      </c>
    </row>
    <row r="7" spans="1:19" x14ac:dyDescent="0.25">
      <c r="A7" t="s">
        <v>99</v>
      </c>
      <c r="C7">
        <f>7100000*C6</f>
        <v>537227.60290556902</v>
      </c>
    </row>
    <row r="8" spans="1:19" x14ac:dyDescent="0.25">
      <c r="A8" t="s">
        <v>100</v>
      </c>
      <c r="C8">
        <f>C6^2*1481</f>
        <v>8.4792023316077358</v>
      </c>
      <c r="D8" t="s">
        <v>101</v>
      </c>
    </row>
    <row r="10" spans="1:19" x14ac:dyDescent="0.25">
      <c r="A10" t="s">
        <v>102</v>
      </c>
    </row>
    <row r="11" spans="1:19" x14ac:dyDescent="0.25">
      <c r="A11" t="s">
        <v>107</v>
      </c>
      <c r="G11" t="s">
        <v>119</v>
      </c>
      <c r="J11" s="40" t="s">
        <v>121</v>
      </c>
      <c r="M11" t="s">
        <v>122</v>
      </c>
      <c r="Q11" t="s">
        <v>118</v>
      </c>
      <c r="S11" t="s">
        <v>158</v>
      </c>
    </row>
    <row r="12" spans="1:19" x14ac:dyDescent="0.25">
      <c r="A12" t="s">
        <v>7</v>
      </c>
      <c r="B12" s="43">
        <v>3</v>
      </c>
      <c r="C12" t="s">
        <v>103</v>
      </c>
      <c r="G12" t="s">
        <v>120</v>
      </c>
      <c r="H12" s="43">
        <v>0.95</v>
      </c>
      <c r="I12" s="40" t="s">
        <v>103</v>
      </c>
      <c r="J12" s="40" t="s">
        <v>120</v>
      </c>
      <c r="K12" s="43">
        <v>0.3</v>
      </c>
      <c r="L12" t="s">
        <v>103</v>
      </c>
      <c r="M12" t="s">
        <v>109</v>
      </c>
      <c r="N12">
        <f>'Aircraft Dimensions'!C18</f>
        <v>8.1082087848239617</v>
      </c>
      <c r="O12" s="40" t="s">
        <v>103</v>
      </c>
      <c r="Q12" t="s">
        <v>127</v>
      </c>
      <c r="R12" s="43">
        <v>3</v>
      </c>
      <c r="S12" t="s">
        <v>72</v>
      </c>
    </row>
    <row r="13" spans="1:19" x14ac:dyDescent="0.25">
      <c r="A13" t="s">
        <v>94</v>
      </c>
      <c r="B13" s="43">
        <v>2.5</v>
      </c>
      <c r="G13" t="s">
        <v>109</v>
      </c>
      <c r="H13">
        <f>2.1*H12</f>
        <v>1.9949999999999999</v>
      </c>
      <c r="I13" s="40" t="s">
        <v>103</v>
      </c>
      <c r="J13" s="40" t="s">
        <v>109</v>
      </c>
      <c r="K13" s="40">
        <f>2.1*K12</f>
        <v>0.63</v>
      </c>
      <c r="L13" t="s">
        <v>103</v>
      </c>
      <c r="M13" t="s">
        <v>123</v>
      </c>
      <c r="N13" s="77">
        <f>'Aircraft Dimensions'!H10/12</f>
        <v>4.541666666666667</v>
      </c>
      <c r="O13" t="s">
        <v>105</v>
      </c>
      <c r="Q13" t="s">
        <v>128</v>
      </c>
      <c r="R13" s="43">
        <v>0.75</v>
      </c>
      <c r="S13" t="s">
        <v>72</v>
      </c>
    </row>
    <row r="14" spans="1:19" x14ac:dyDescent="0.25">
      <c r="A14" t="s">
        <v>104</v>
      </c>
      <c r="B14">
        <f>SQRT(B13*B12)</f>
        <v>2.7386127875258306</v>
      </c>
      <c r="C14" t="s">
        <v>105</v>
      </c>
      <c r="D14">
        <f>B14*12</f>
        <v>32.863353450309965</v>
      </c>
      <c r="E14" t="s">
        <v>72</v>
      </c>
      <c r="G14" t="s">
        <v>106</v>
      </c>
      <c r="H14">
        <v>0.5</v>
      </c>
      <c r="I14" s="40" t="s">
        <v>105</v>
      </c>
      <c r="J14" s="40" t="s">
        <v>106</v>
      </c>
      <c r="K14">
        <v>0.5</v>
      </c>
      <c r="L14" t="s">
        <v>105</v>
      </c>
      <c r="M14" t="s">
        <v>124</v>
      </c>
      <c r="N14" s="77">
        <f>'Aircraft Dimensions'!H9/12</f>
        <v>0.91666666666666663</v>
      </c>
      <c r="O14" t="s">
        <v>70</v>
      </c>
    </row>
    <row r="15" spans="1:19" x14ac:dyDescent="0.25">
      <c r="A15" t="s">
        <v>106</v>
      </c>
      <c r="B15">
        <f>B14/B13</f>
        <v>1.0954451150103321</v>
      </c>
      <c r="C15" t="s">
        <v>70</v>
      </c>
      <c r="D15">
        <f>B15*12</f>
        <v>13.145341380123986</v>
      </c>
      <c r="E15" t="s">
        <v>72</v>
      </c>
      <c r="G15" t="s">
        <v>115</v>
      </c>
      <c r="H15" s="57">
        <v>0.12</v>
      </c>
      <c r="J15" s="40" t="s">
        <v>115</v>
      </c>
      <c r="K15" s="58">
        <v>0.12</v>
      </c>
      <c r="M15" t="s">
        <v>125</v>
      </c>
      <c r="N15" s="77">
        <f>'Aircraft Dimensions'!H11/12</f>
        <v>0.45833333333333331</v>
      </c>
      <c r="O15" t="s">
        <v>70</v>
      </c>
      <c r="Q15" t="s">
        <v>129</v>
      </c>
      <c r="R15">
        <f>R12*R13*3/144</f>
        <v>4.6875E-2</v>
      </c>
      <c r="S15" s="40" t="s">
        <v>103</v>
      </c>
    </row>
    <row r="16" spans="1:19" x14ac:dyDescent="0.25">
      <c r="A16" t="s">
        <v>109</v>
      </c>
      <c r="B16">
        <f>2.1*B12</f>
        <v>6.3000000000000007</v>
      </c>
      <c r="C16" s="40" t="s">
        <v>103</v>
      </c>
      <c r="M16" t="s">
        <v>93</v>
      </c>
      <c r="N16">
        <f>N14*N15</f>
        <v>0.42013888888888884</v>
      </c>
      <c r="O16" s="40" t="s">
        <v>103</v>
      </c>
    </row>
    <row r="17" spans="1:15" x14ac:dyDescent="0.25">
      <c r="A17" t="s">
        <v>115</v>
      </c>
      <c r="B17" s="57">
        <v>0.18</v>
      </c>
      <c r="M17" t="s">
        <v>126</v>
      </c>
      <c r="N17">
        <v>2.86E-2</v>
      </c>
      <c r="O17" t="s">
        <v>103</v>
      </c>
    </row>
    <row r="18" spans="1:15" x14ac:dyDescent="0.25">
      <c r="M18" t="s">
        <v>130</v>
      </c>
      <c r="N18">
        <f>(N14+N15)/2/N13</f>
        <v>0.15137614678899081</v>
      </c>
    </row>
    <row r="22" spans="1:15" x14ac:dyDescent="0.25">
      <c r="A22" s="44"/>
      <c r="B22" s="51" t="s">
        <v>109</v>
      </c>
      <c r="C22" s="51" t="s">
        <v>110</v>
      </c>
      <c r="D22" s="51" t="s">
        <v>114</v>
      </c>
      <c r="E22" s="51" t="s">
        <v>111</v>
      </c>
      <c r="F22" s="51" t="s">
        <v>131</v>
      </c>
    </row>
    <row r="23" spans="1:15" x14ac:dyDescent="0.25">
      <c r="A23" s="39" t="s">
        <v>107</v>
      </c>
      <c r="B23" s="45">
        <f>B16</f>
        <v>6.3000000000000007</v>
      </c>
      <c r="C23" s="45">
        <f>1+2*B17+60*B17^4</f>
        <v>1.4229855999999999</v>
      </c>
      <c r="D23" s="46">
        <f>$B$15*$C$7</f>
        <v>588503.35325161612</v>
      </c>
      <c r="E23" s="47">
        <f>IF(D23&lt;500000,1.328/SQRT(D23),1/(3.46*LOG10(D23)-5.6)^2)</f>
        <v>4.8471855174604421E-3</v>
      </c>
      <c r="F23" s="47">
        <f>B23*C23*E23/$B$12</f>
        <v>1.4484697902936992E-2</v>
      </c>
    </row>
    <row r="24" spans="1:15" x14ac:dyDescent="0.25">
      <c r="A24" s="39" t="s">
        <v>108</v>
      </c>
      <c r="B24" s="45">
        <f>N12</f>
        <v>8.1082087848239617</v>
      </c>
      <c r="C24" s="45">
        <f>1-0.2896*N18+5.41*N18^2+88*N18^3-238.7*N18^4</f>
        <v>1.2600418949928798</v>
      </c>
      <c r="D24" s="46">
        <f>C7*N13</f>
        <v>2439908.6965294592</v>
      </c>
      <c r="E24" s="47">
        <f t="shared" ref="E24:E26" si="0">IF(D24&lt;500000,1.328/SQRT(D24),1/(3.46*LOG10(D24)-5.6)^2)</f>
        <v>3.6729554228696563E-3</v>
      </c>
      <c r="F24" s="47">
        <f t="shared" ref="F24:F26" si="1">B24*C24*E24/$B$12</f>
        <v>1.2508473451754145E-2</v>
      </c>
    </row>
    <row r="25" spans="1:15" x14ac:dyDescent="0.25">
      <c r="A25" s="39" t="s">
        <v>112</v>
      </c>
      <c r="B25" s="45">
        <f>H13</f>
        <v>1.9949999999999999</v>
      </c>
      <c r="C25" s="45">
        <f>1+2*H15+60*H15^4</f>
        <v>1.2524416</v>
      </c>
      <c r="D25" s="46">
        <f>$H$14*$C$7</f>
        <v>268613.80145278451</v>
      </c>
      <c r="E25" s="47">
        <f t="shared" si="0"/>
        <v>2.5623232275131728E-3</v>
      </c>
      <c r="F25" s="47">
        <f t="shared" si="1"/>
        <v>2.1340915348512014E-3</v>
      </c>
    </row>
    <row r="26" spans="1:15" x14ac:dyDescent="0.25">
      <c r="A26" s="39" t="s">
        <v>113</v>
      </c>
      <c r="B26" s="45">
        <f>K13</f>
        <v>0.63</v>
      </c>
      <c r="C26" s="45">
        <f>1+2*K15+60*K15^4</f>
        <v>1.2524416</v>
      </c>
      <c r="D26" s="46">
        <f>$K$14*$C$7</f>
        <v>268613.80145278451</v>
      </c>
      <c r="E26" s="47">
        <f t="shared" si="0"/>
        <v>2.5623232275131728E-3</v>
      </c>
      <c r="F26" s="47">
        <f t="shared" si="1"/>
        <v>6.7392364258459002E-4</v>
      </c>
    </row>
    <row r="27" spans="1:15" x14ac:dyDescent="0.25">
      <c r="A27" s="39" t="s">
        <v>117</v>
      </c>
      <c r="B27" s="45">
        <f>N17</f>
        <v>2.86E-2</v>
      </c>
      <c r="C27" s="48"/>
      <c r="D27" s="48"/>
      <c r="E27" s="48"/>
      <c r="F27" s="47">
        <f>B27/B12*0.16</f>
        <v>1.5253333333333334E-3</v>
      </c>
    </row>
    <row r="28" spans="1:15" x14ac:dyDescent="0.25">
      <c r="A28" s="39" t="s">
        <v>118</v>
      </c>
      <c r="B28" s="45">
        <f>R15</f>
        <v>4.6875E-2</v>
      </c>
      <c r="C28" s="48"/>
      <c r="D28" s="48"/>
      <c r="E28" s="48"/>
      <c r="F28" s="47">
        <f>B28/B12*1</f>
        <v>1.5625E-2</v>
      </c>
    </row>
    <row r="29" spans="1:15" x14ac:dyDescent="0.25">
      <c r="A29" s="39" t="s">
        <v>222</v>
      </c>
      <c r="B29" s="48"/>
      <c r="C29" s="48"/>
      <c r="D29" s="48"/>
      <c r="E29" s="48"/>
      <c r="F29" s="47">
        <f>0.05*SUM(F23:F27)</f>
        <v>1.5663259932730132E-3</v>
      </c>
    </row>
    <row r="30" spans="1:15" x14ac:dyDescent="0.25">
      <c r="A30" s="41" t="s">
        <v>116</v>
      </c>
      <c r="B30" s="49"/>
      <c r="C30" s="49"/>
      <c r="D30" s="49"/>
      <c r="E30" s="49"/>
      <c r="F30" s="50">
        <f>SUM(F23:F29)</f>
        <v>4.8517845858733276E-2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1"/>
  <sheetViews>
    <sheetView workbookViewId="0">
      <selection activeCell="C38" sqref="C38"/>
    </sheetView>
  </sheetViews>
  <sheetFormatPr defaultRowHeight="15" x14ac:dyDescent="0.25"/>
  <sheetData>
    <row r="1" spans="1:24" ht="36" x14ac:dyDescent="0.55000000000000004">
      <c r="A1" s="86" t="s">
        <v>186</v>
      </c>
      <c r="I1" t="s">
        <v>223</v>
      </c>
    </row>
    <row r="4" spans="1:24" x14ac:dyDescent="0.25">
      <c r="A4" t="s">
        <v>107</v>
      </c>
      <c r="F4" t="s">
        <v>122</v>
      </c>
      <c r="K4" t="s">
        <v>187</v>
      </c>
      <c r="P4" t="s">
        <v>121</v>
      </c>
      <c r="U4" t="s">
        <v>188</v>
      </c>
    </row>
    <row r="5" spans="1:24" x14ac:dyDescent="0.25">
      <c r="A5" t="s">
        <v>94</v>
      </c>
      <c r="B5">
        <f>AR</f>
        <v>2.5</v>
      </c>
      <c r="F5" t="s">
        <v>123</v>
      </c>
      <c r="G5">
        <f>Fuse_Len</f>
        <v>4.541666666666667</v>
      </c>
      <c r="H5" t="s">
        <v>70</v>
      </c>
      <c r="I5">
        <f>G5*12</f>
        <v>54.5</v>
      </c>
      <c r="J5" t="s">
        <v>72</v>
      </c>
      <c r="K5" t="s">
        <v>120</v>
      </c>
      <c r="L5">
        <f>S_HT</f>
        <v>0.95</v>
      </c>
      <c r="M5" t="s">
        <v>70</v>
      </c>
      <c r="N5">
        <f>L5*12</f>
        <v>11.399999999999999</v>
      </c>
      <c r="O5" t="s">
        <v>72</v>
      </c>
      <c r="P5" t="s">
        <v>120</v>
      </c>
      <c r="Q5">
        <f>S_VT</f>
        <v>0.3</v>
      </c>
      <c r="R5" t="s">
        <v>70</v>
      </c>
      <c r="S5" s="40">
        <f t="shared" ref="S5:S6" si="0">Q5*12</f>
        <v>3.5999999999999996</v>
      </c>
      <c r="T5" t="s">
        <v>72</v>
      </c>
      <c r="U5" t="s">
        <v>189</v>
      </c>
      <c r="V5">
        <v>5.7800000000000004E-3</v>
      </c>
      <c r="W5" t="s">
        <v>190</v>
      </c>
    </row>
    <row r="6" spans="1:24" x14ac:dyDescent="0.25">
      <c r="A6" t="s">
        <v>104</v>
      </c>
      <c r="B6">
        <f>'CD0 calculator'!B14</f>
        <v>2.7386127875258306</v>
      </c>
      <c r="C6" t="s">
        <v>70</v>
      </c>
      <c r="D6">
        <f>B6*12</f>
        <v>32.863353450309965</v>
      </c>
      <c r="E6" t="s">
        <v>72</v>
      </c>
      <c r="F6" t="s">
        <v>124</v>
      </c>
      <c r="G6">
        <f>Fuse_W</f>
        <v>0.91666666666666663</v>
      </c>
      <c r="H6" t="s">
        <v>70</v>
      </c>
      <c r="I6" s="40">
        <f t="shared" ref="I6:I7" si="1">G6*12</f>
        <v>11</v>
      </c>
      <c r="J6" t="s">
        <v>72</v>
      </c>
      <c r="K6" t="s">
        <v>106</v>
      </c>
      <c r="L6">
        <f>'CD0 calculator'!H14</f>
        <v>0.5</v>
      </c>
      <c r="M6" t="s">
        <v>70</v>
      </c>
      <c r="N6" s="40">
        <f t="shared" ref="N6:N9" si="2">L6*12</f>
        <v>6</v>
      </c>
      <c r="O6" t="s">
        <v>72</v>
      </c>
      <c r="P6" t="s">
        <v>106</v>
      </c>
      <c r="Q6">
        <f>'CD0 calculator'!K14</f>
        <v>0.5</v>
      </c>
      <c r="R6" t="s">
        <v>70</v>
      </c>
      <c r="S6" s="40">
        <f t="shared" si="0"/>
        <v>6</v>
      </c>
      <c r="T6" t="s">
        <v>72</v>
      </c>
      <c r="U6" t="s">
        <v>191</v>
      </c>
      <c r="V6">
        <v>1.32E-3</v>
      </c>
      <c r="W6" t="s">
        <v>190</v>
      </c>
      <c r="X6" t="s">
        <v>192</v>
      </c>
    </row>
    <row r="7" spans="1:24" x14ac:dyDescent="0.25">
      <c r="A7" t="s">
        <v>106</v>
      </c>
      <c r="B7">
        <f>'CD0 calculator'!B15</f>
        <v>1.0954451150103321</v>
      </c>
      <c r="C7" t="s">
        <v>70</v>
      </c>
      <c r="D7" s="40">
        <f>B7*12</f>
        <v>13.145341380123986</v>
      </c>
      <c r="E7" t="s">
        <v>72</v>
      </c>
      <c r="F7" t="s">
        <v>125</v>
      </c>
      <c r="G7">
        <f>Fuse_H</f>
        <v>0.45833333333333331</v>
      </c>
      <c r="H7" t="s">
        <v>70</v>
      </c>
      <c r="I7" s="40">
        <f t="shared" si="1"/>
        <v>5.5</v>
      </c>
      <c r="J7" t="s">
        <v>72</v>
      </c>
      <c r="K7" t="s">
        <v>115</v>
      </c>
      <c r="L7">
        <f>tOc_HT</f>
        <v>0.12</v>
      </c>
      <c r="N7" s="40"/>
      <c r="P7" t="s">
        <v>115</v>
      </c>
      <c r="Q7">
        <f>tOc_VT</f>
        <v>0.12</v>
      </c>
      <c r="S7" s="40"/>
    </row>
    <row r="8" spans="1:24" x14ac:dyDescent="0.25">
      <c r="A8" t="s">
        <v>115</v>
      </c>
      <c r="B8">
        <f>tOC_wing</f>
        <v>0.18</v>
      </c>
      <c r="K8" t="s">
        <v>193</v>
      </c>
      <c r="L8">
        <f xml:space="preserve"> 2*(5*L7)*(0.296/(3/2)-0.126/2-0.3516/3+0.2843/4-0.1015/5)</f>
        <v>8.1489999999999979E-2</v>
      </c>
      <c r="N8" s="40"/>
      <c r="P8" t="s">
        <v>193</v>
      </c>
      <c r="Q8">
        <f xml:space="preserve"> 2*(5*Q7)*(0.296/(3/2)-0.126/2-0.3516/3+0.2843/4-0.1015/5)</f>
        <v>8.1489999999999979E-2</v>
      </c>
      <c r="S8" s="40"/>
    </row>
    <row r="9" spans="1:24" x14ac:dyDescent="0.25">
      <c r="A9" t="s">
        <v>193</v>
      </c>
      <c r="B9">
        <f xml:space="preserve"> 2*(5*B8)*(0.296/(3/2)-0.126/2-0.3516/3+0.2843/4-0.1015/5)</f>
        <v>0.12223499999999997</v>
      </c>
      <c r="K9" t="s">
        <v>194</v>
      </c>
      <c r="L9">
        <f>S_HT/'CD0 calculator'!H14</f>
        <v>1.9</v>
      </c>
      <c r="M9" t="s">
        <v>70</v>
      </c>
      <c r="N9" s="40">
        <f t="shared" si="2"/>
        <v>22.799999999999997</v>
      </c>
      <c r="O9" t="s">
        <v>72</v>
      </c>
      <c r="P9" t="s">
        <v>194</v>
      </c>
      <c r="Q9">
        <f>Q5/Q6</f>
        <v>0.6</v>
      </c>
      <c r="R9" t="s">
        <v>70</v>
      </c>
      <c r="S9">
        <f>Q9*12</f>
        <v>7.1999999999999993</v>
      </c>
      <c r="T9" t="s">
        <v>72</v>
      </c>
    </row>
    <row r="12" spans="1:24" x14ac:dyDescent="0.25">
      <c r="B12" t="s">
        <v>195</v>
      </c>
      <c r="F12" t="s">
        <v>196</v>
      </c>
    </row>
    <row r="13" spans="1:24" x14ac:dyDescent="0.25">
      <c r="A13" t="s">
        <v>197</v>
      </c>
      <c r="B13">
        <f>(B9*B6)*(B6-G6)/B5</f>
        <v>0.24396174416948599</v>
      </c>
      <c r="C13" t="s">
        <v>198</v>
      </c>
      <c r="D13">
        <f>B13*12^3</f>
        <v>421.56589392487177</v>
      </c>
      <c r="E13" t="s">
        <v>199</v>
      </c>
      <c r="F13">
        <f>D13*V6</f>
        <v>0.55646697998083072</v>
      </c>
      <c r="G13" t="s">
        <v>200</v>
      </c>
      <c r="H13" s="88" t="s">
        <v>213</v>
      </c>
    </row>
    <row r="14" spans="1:24" x14ac:dyDescent="0.25">
      <c r="A14" t="s">
        <v>201</v>
      </c>
      <c r="B14">
        <f>D14/12^3</f>
        <v>0.13629376446759259</v>
      </c>
      <c r="C14" t="s">
        <v>198</v>
      </c>
      <c r="D14">
        <f>I5*I6*I7-(I5-0.25)*(I6-0.25)*(I7-0.25)</f>
        <v>235.515625</v>
      </c>
      <c r="E14" t="s">
        <v>199</v>
      </c>
      <c r="F14">
        <v>1</v>
      </c>
      <c r="G14" t="s">
        <v>200</v>
      </c>
      <c r="H14" s="88" t="s">
        <v>214</v>
      </c>
    </row>
    <row r="15" spans="1:24" x14ac:dyDescent="0.25">
      <c r="A15" t="s">
        <v>202</v>
      </c>
      <c r="B15">
        <f>(L8*L9*L6)</f>
        <v>7.741549999999997E-2</v>
      </c>
      <c r="C15" t="s">
        <v>198</v>
      </c>
      <c r="D15">
        <f>B15*12^3</f>
        <v>133.77398399999996</v>
      </c>
      <c r="E15" t="s">
        <v>199</v>
      </c>
      <c r="F15">
        <f>D15*V6</f>
        <v>0.17658165887999994</v>
      </c>
      <c r="G15" t="s">
        <v>200</v>
      </c>
      <c r="H15" s="88" t="s">
        <v>213</v>
      </c>
    </row>
    <row r="16" spans="1:24" x14ac:dyDescent="0.25">
      <c r="A16" t="s">
        <v>203</v>
      </c>
      <c r="B16">
        <f>(Q8*Q9*Q6)</f>
        <v>2.4446999999999993E-2</v>
      </c>
      <c r="C16" t="s">
        <v>198</v>
      </c>
      <c r="D16" s="40">
        <f>B16*12^3</f>
        <v>42.244415999999987</v>
      </c>
      <c r="E16" t="s">
        <v>199</v>
      </c>
      <c r="F16">
        <f>D16*V6</f>
        <v>5.5762629119999983E-2</v>
      </c>
      <c r="G16" t="s">
        <v>200</v>
      </c>
      <c r="H16" s="88" t="s">
        <v>213</v>
      </c>
    </row>
    <row r="17" spans="1:8" x14ac:dyDescent="0.25">
      <c r="A17" t="s">
        <v>215</v>
      </c>
      <c r="F17">
        <v>0.5</v>
      </c>
      <c r="G17" s="40" t="s">
        <v>200</v>
      </c>
      <c r="H17" s="88" t="s">
        <v>216</v>
      </c>
    </row>
    <row r="18" spans="1:8" x14ac:dyDescent="0.25">
      <c r="A18" t="s">
        <v>217</v>
      </c>
      <c r="F18">
        <v>0.25</v>
      </c>
      <c r="G18" s="40" t="s">
        <v>200</v>
      </c>
      <c r="H18" s="88" t="s">
        <v>218</v>
      </c>
    </row>
    <row r="19" spans="1:8" x14ac:dyDescent="0.25">
      <c r="A19" t="s">
        <v>219</v>
      </c>
      <c r="F19">
        <v>0.25</v>
      </c>
      <c r="G19" s="40" t="s">
        <v>200</v>
      </c>
      <c r="H19" s="88" t="s">
        <v>220</v>
      </c>
    </row>
    <row r="20" spans="1:8" x14ac:dyDescent="0.25">
      <c r="A20" t="s">
        <v>204</v>
      </c>
      <c r="F20" s="87">
        <f>ROUND(SUM(F13:F19),2)</f>
        <v>2.79</v>
      </c>
      <c r="G20" t="s">
        <v>200</v>
      </c>
    </row>
    <row r="21" spans="1:8" x14ac:dyDescent="0.25">
      <c r="F21" s="87">
        <f>F20*16</f>
        <v>44.64</v>
      </c>
      <c r="G21" t="s">
        <v>58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Performance Data</vt:lpstr>
      <vt:lpstr>Aircraft Dimensions</vt:lpstr>
      <vt:lpstr>CD0 calculator</vt:lpstr>
      <vt:lpstr>Aircraft Weight</vt:lpstr>
      <vt:lpstr>AR</vt:lpstr>
      <vt:lpstr>AR_e</vt:lpstr>
      <vt:lpstr>BATWEIGHT</vt:lpstr>
      <vt:lpstr>CARGO_HEIGHT</vt:lpstr>
      <vt:lpstr>CARGO_LENGTH</vt:lpstr>
      <vt:lpstr>CARGO_ROWS</vt:lpstr>
      <vt:lpstr>CARGO_WIDTH</vt:lpstr>
      <vt:lpstr>CARGOperROW</vt:lpstr>
      <vt:lpstr>CD0</vt:lpstr>
      <vt:lpstr>CRUD_HEIGHT</vt:lpstr>
      <vt:lpstr>CRUD_LENGTH</vt:lpstr>
      <vt:lpstr>CRUD_LENGTH_nose</vt:lpstr>
      <vt:lpstr>CRUD_LENGTH_tail</vt:lpstr>
      <vt:lpstr>CRUD_WIDTH</vt:lpstr>
      <vt:lpstr>ENDURANCE</vt:lpstr>
      <vt:lpstr>EW</vt:lpstr>
      <vt:lpstr>ExternalServoHeight</vt:lpstr>
      <vt:lpstr>ExternalServoWidth</vt:lpstr>
      <vt:lpstr>Fuse_H</vt:lpstr>
      <vt:lpstr>Fuse_Len</vt:lpstr>
      <vt:lpstr>Fuse_W</vt:lpstr>
      <vt:lpstr>HEADWIND</vt:lpstr>
      <vt:lpstr>LandingGearHeight</vt:lpstr>
      <vt:lpstr>LandingGearWidth</vt:lpstr>
      <vt:lpstr>M1_TURN_MARGIN</vt:lpstr>
      <vt:lpstr>m2_turn_margin</vt:lpstr>
      <vt:lpstr>m3_turn_margin</vt:lpstr>
      <vt:lpstr>MISSION1_STALL</vt:lpstr>
      <vt:lpstr>MISSION1_TODIST</vt:lpstr>
      <vt:lpstr>MISSION1_TOP</vt:lpstr>
      <vt:lpstr>MISSION1_WARNING</vt:lpstr>
      <vt:lpstr>MISSION2_STALL</vt:lpstr>
      <vt:lpstr>MISSION2_TIME</vt:lpstr>
      <vt:lpstr>MISSION2_TODIST</vt:lpstr>
      <vt:lpstr>MISSION2_TOP</vt:lpstr>
      <vt:lpstr>MISSION2_WARNING</vt:lpstr>
      <vt:lpstr>MISSION3_LAPS</vt:lpstr>
      <vt:lpstr>MISSION3_STALL</vt:lpstr>
      <vt:lpstr>MISSION3_TODIST</vt:lpstr>
      <vt:lpstr>MISSION3_TOP</vt:lpstr>
      <vt:lpstr>MISSION3_WARNING</vt:lpstr>
      <vt:lpstr>NBLOX</vt:lpstr>
      <vt:lpstr>NENG</vt:lpstr>
      <vt:lpstr>NPAX</vt:lpstr>
      <vt:lpstr>NUMCELLS</vt:lpstr>
      <vt:lpstr>OEW</vt:lpstr>
      <vt:lpstr>OverallScore</vt:lpstr>
      <vt:lpstr>PAX_DIMENSIONS</vt:lpstr>
      <vt:lpstr>PAX_ROWS</vt:lpstr>
      <vt:lpstr>PAXperROW</vt:lpstr>
      <vt:lpstr>penalty</vt:lpstr>
      <vt:lpstr>RAC</vt:lpstr>
      <vt:lpstr>S_HT</vt:lpstr>
      <vt:lpstr>S_VT</vt:lpstr>
      <vt:lpstr>Spi</vt:lpstr>
      <vt:lpstr>Sref</vt:lpstr>
      <vt:lpstr>SWET_fuse</vt:lpstr>
      <vt:lpstr>SWET_mid</vt:lpstr>
      <vt:lpstr>SWET_nose</vt:lpstr>
      <vt:lpstr>sWet_t</vt:lpstr>
      <vt:lpstr>SWET_tail</vt:lpstr>
      <vt:lpstr>sync</vt:lpstr>
      <vt:lpstr>Tail_End_Height</vt:lpstr>
      <vt:lpstr>Tail_End_Width</vt:lpstr>
      <vt:lpstr>TAIL_Swet</vt:lpstr>
      <vt:lpstr>Tire_D</vt:lpstr>
      <vt:lpstr>Tire_W</vt:lpstr>
      <vt:lpstr>tOc_HT</vt:lpstr>
      <vt:lpstr>tOc_VT</vt:lpstr>
      <vt:lpstr>tOC_wing</vt:lpstr>
      <vt:lpstr>TOW_M1</vt:lpstr>
      <vt:lpstr>TOW_M2</vt:lpstr>
      <vt:lpstr>TOW_M3</vt:lpstr>
      <vt:lpstr>TrunionHeight</vt:lpstr>
      <vt:lpstr>TrunionWidth</vt:lpstr>
      <vt:lpstr>WSPAN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Timothy Takahashi</cp:lastModifiedBy>
  <cp:lastPrinted>2014-12-18T16:36:06Z</cp:lastPrinted>
  <dcterms:created xsi:type="dcterms:W3CDTF">2012-11-17T04:50:56Z</dcterms:created>
  <dcterms:modified xsi:type="dcterms:W3CDTF">2017-10-05T18:05:35Z</dcterms:modified>
</cp:coreProperties>
</file>