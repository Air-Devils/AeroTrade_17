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0" yWindow="0" windowWidth="28800" windowHeight="12210" activeTab="3"/>
  </bookViews>
  <sheets>
    <sheet name="Performance Data" sheetId="1" r:id="rId1"/>
    <sheet name="Aircraft Dimensions" sheetId="3" r:id="rId2"/>
    <sheet name="CD0 calculator" sheetId="2" r:id="rId3"/>
    <sheet name="Aircraft Weight" sheetId="4" r:id="rId4"/>
  </sheets>
  <definedNames>
    <definedName name="AR">'CD0 calculator'!$B$13</definedName>
    <definedName name="AR_e">'Performance Data'!$P$12</definedName>
    <definedName name="BATWEIGHT">'Performance Data'!$B$21</definedName>
    <definedName name="CARGO_HEIGHT">'Aircraft Dimensions'!$O$3</definedName>
    <definedName name="CARGO_LENGTH">'Aircraft Dimensions'!$N$3</definedName>
    <definedName name="CARGO_ROWS">'Aircraft Dimensions'!$E$2</definedName>
    <definedName name="CARGO_WIDTH">'Aircraft Dimensions'!$M$3</definedName>
    <definedName name="CARGOperROW">'Aircraft Dimensions'!$D$2</definedName>
    <definedName name="CD0">'Performance Data'!$P$11</definedName>
    <definedName name="CRUD_HEIGHT">'Aircraft Dimensions'!$H$8</definedName>
    <definedName name="CRUD_LENGTH">'Aircraft Dimensions'!$H$6</definedName>
    <definedName name="CRUD_LENGTH_nose">'Aircraft Dimensions'!$H$7</definedName>
    <definedName name="CRUD_LENGTH_tail">'Aircraft Dimensions'!$H$6</definedName>
    <definedName name="CRUD_WIDTH">'Aircraft Dimensions'!$H$5</definedName>
    <definedName name="ENDURANCE">'Performance Data'!$B$22</definedName>
    <definedName name="EW">'Aircraft Weight'!$D$20</definedName>
    <definedName name="ExternalServoHeight">'Aircraft Dimensions'!$E$19</definedName>
    <definedName name="ExternalServoWidth">'Aircraft Dimensions'!$E$18</definedName>
    <definedName name="Fuse_H">'CD0 calculator'!$N$15</definedName>
    <definedName name="Fuse_Len">'CD0 calculator'!$N$13</definedName>
    <definedName name="Fuse_W">'CD0 calculator'!$N$14</definedName>
    <definedName name="HEADWIND">'Performance Data'!$P$14</definedName>
    <definedName name="LandingGearHeight">'Aircraft Dimensions'!$E$17</definedName>
    <definedName name="LandingGearWidth">'Aircraft Dimensions'!$E$16</definedName>
    <definedName name="M1_TURN_MARGIN">'Performance Data'!$L$9</definedName>
    <definedName name="m2_turn_margin">'Performance Data'!$L$14</definedName>
    <definedName name="m3_turn_margin">'Performance Data'!$L$19</definedName>
    <definedName name="MISSION1_STALL">'Performance Data'!$J$6</definedName>
    <definedName name="MISSION1_TODIST">'Performance Data'!$J$8</definedName>
    <definedName name="MISSION1_TOP">'Performance Data'!$J$7</definedName>
    <definedName name="MISSION1_WARNING">'Performance Data'!$L$8</definedName>
    <definedName name="MISSION2_STALL">'Performance Data'!$J$11</definedName>
    <definedName name="MISSION2_TIME">'Performance Data'!$B$45</definedName>
    <definedName name="MISSION2_TODIST">'Performance Data'!$J$13</definedName>
    <definedName name="MISSION2_TOP">'Performance Data'!$J$12</definedName>
    <definedName name="MISSION2_WARNING">'Performance Data'!$L$13</definedName>
    <definedName name="MISSION3_LAPS">'Performance Data'!$B$49</definedName>
    <definedName name="MISSION3_STALL">'Performance Data'!$J$16</definedName>
    <definedName name="MISSION3_TODIST">'Performance Data'!$J$18</definedName>
    <definedName name="MISSION3_TOP">'Performance Data'!$J$17</definedName>
    <definedName name="MISSION3_WARNING">'Performance Data'!$L$18</definedName>
    <definedName name="NBLOX">'Performance Data'!$B$33</definedName>
    <definedName name="NENG">'Performance Data'!$P$9</definedName>
    <definedName name="NPAX">'Performance Data'!$B$31</definedName>
    <definedName name="NUMCELLS">'Performance Data'!$B$19</definedName>
    <definedName name="OEW">'Performance Data'!$B$29</definedName>
    <definedName name="OverallScore">'Performance Data'!$B$59</definedName>
    <definedName name="PAX_DIMENSIONS">'Aircraft Dimensions'!$M$2</definedName>
    <definedName name="PAX_ROWS">'Aircraft Dimensions'!$B$2</definedName>
    <definedName name="PAXperROW">'Aircraft Dimensions'!$A$2</definedName>
    <definedName name="penalty">'Performance Data'!$L$22</definedName>
    <definedName name="RAC">'Performance Data'!$B$57</definedName>
    <definedName name="S_HT">'CD0 calculator'!$H$12</definedName>
    <definedName name="S_VT">'CD0 calculator'!$K$12</definedName>
    <definedName name="Spi">'CD0 calculator'!$N$16</definedName>
    <definedName name="Sref">'CD0 calculator'!$B$12</definedName>
    <definedName name="SWET_fuse">'Aircraft Dimensions'!$B$18</definedName>
    <definedName name="SWET_mid">'Aircraft Dimensions'!$B$16</definedName>
    <definedName name="SWET_nose">'Aircraft Dimensions'!$B$17</definedName>
    <definedName name="sWet_t">'Aircraft Dimensions'!$A$15</definedName>
    <definedName name="SWET_tail">'Aircraft Dimensions'!$B$15</definedName>
    <definedName name="sync">'Performance Data'!$J$23</definedName>
    <definedName name="Tail_End_Height">'Aircraft Dimensions'!$E$15</definedName>
    <definedName name="Tail_End_Width">'Aircraft Dimensions'!$E$14</definedName>
    <definedName name="TAIL_Swet">'Aircraft Dimensions'!$A$15</definedName>
    <definedName name="Tire_D">'CD0 calculator'!$R$12</definedName>
    <definedName name="Tire_W">'CD0 calculator'!$R$13</definedName>
    <definedName name="tOc_HT">'CD0 calculator'!$H$15</definedName>
    <definedName name="tOc_VT">'CD0 calculator'!$K$15</definedName>
    <definedName name="tOC_wing">'CD0 calculator'!$B$17</definedName>
    <definedName name="TOW_M1">'Performance Data'!$B$38</definedName>
    <definedName name="TOW_M2">'Performance Data'!$B$39</definedName>
    <definedName name="TOW_M3">'Performance Data'!$B$40</definedName>
    <definedName name="TrunionHeight">'Aircraft Dimensions'!$E$21</definedName>
    <definedName name="TrunionWidth">'Aircraft Dimensions'!$E$20</definedName>
    <definedName name="WSPAN">'Performance Data'!$B$51</definedName>
  </definedNames>
  <calcPr calcId="145621"/>
  <fileRecoveryPr autoRecover="0"/>
</workbook>
</file>

<file path=xl/calcChain.xml><?xml version="1.0" encoding="utf-8"?>
<calcChain xmlns="http://schemas.openxmlformats.org/spreadsheetml/2006/main">
  <c r="L9" i="4" l="1"/>
  <c r="Q6" i="4"/>
  <c r="L6" i="4"/>
  <c r="L22" i="1" l="1"/>
  <c r="P13" i="1"/>
  <c r="AC17" i="1"/>
  <c r="AC18" i="1"/>
  <c r="AC19" i="1"/>
  <c r="AC20" i="1"/>
  <c r="AC21" i="1"/>
  <c r="AC22" i="1"/>
  <c r="AC23" i="1"/>
  <c r="B8" i="4" l="1"/>
  <c r="P12" i="1"/>
  <c r="D19" i="4"/>
  <c r="E19" i="4" l="1"/>
  <c r="H19" i="4"/>
  <c r="I19" i="4" s="1"/>
  <c r="G19" i="4"/>
  <c r="G18" i="4"/>
  <c r="G17" i="4"/>
  <c r="G16" i="4"/>
  <c r="G15" i="4"/>
  <c r="G14" i="4"/>
  <c r="Q18" i="4"/>
  <c r="Q17" i="4"/>
  <c r="Q15" i="4"/>
  <c r="Q13" i="4"/>
  <c r="Q12" i="4"/>
  <c r="N9" i="4"/>
  <c r="B9" i="4"/>
  <c r="Q7" i="4"/>
  <c r="Q8" i="4" s="1"/>
  <c r="L7" i="4"/>
  <c r="L8" i="4" s="1"/>
  <c r="S6" i="4"/>
  <c r="N6" i="4"/>
  <c r="Y5" i="4"/>
  <c r="Q5" i="4"/>
  <c r="Q9" i="4" s="1"/>
  <c r="S9" i="4" s="1"/>
  <c r="L5" i="4"/>
  <c r="N5" i="4" s="1"/>
  <c r="B5" i="4"/>
  <c r="B15" i="4" l="1"/>
  <c r="C15" i="4" s="1"/>
  <c r="D15" i="4" s="1"/>
  <c r="B14" i="4"/>
  <c r="C14" i="4" s="1"/>
  <c r="D14" i="4" s="1"/>
  <c r="S5" i="4"/>
  <c r="B22" i="1"/>
  <c r="B21" i="1"/>
  <c r="E14" i="4" l="1"/>
  <c r="H14" i="4"/>
  <c r="I14" i="4" s="1"/>
  <c r="E15" i="4"/>
  <c r="H15" i="4"/>
  <c r="I15" i="4" s="1"/>
  <c r="L19" i="1"/>
  <c r="L14" i="1"/>
  <c r="L9" i="1"/>
  <c r="F21" i="3" l="1"/>
  <c r="F19" i="3"/>
  <c r="F17" i="3"/>
  <c r="F15" i="3"/>
  <c r="F22" i="3" l="1"/>
  <c r="O18" i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P48" i="1" s="1"/>
  <c r="V45" i="1" l="1"/>
  <c r="P44" i="1"/>
  <c r="V48" i="1"/>
  <c r="P47" i="1"/>
  <c r="Q47" i="1" s="1"/>
  <c r="V43" i="1"/>
  <c r="O49" i="1"/>
  <c r="V46" i="1"/>
  <c r="P45" i="1"/>
  <c r="Q45" i="1" s="1"/>
  <c r="V47" i="1"/>
  <c r="P46" i="1"/>
  <c r="Q46" i="1" s="1"/>
  <c r="V44" i="1"/>
  <c r="P43" i="1"/>
  <c r="Q43" i="1" s="1"/>
  <c r="Q48" i="1"/>
  <c r="Q44" i="1"/>
  <c r="V42" i="1"/>
  <c r="P40" i="1"/>
  <c r="Q40" i="1" s="1"/>
  <c r="V39" i="1"/>
  <c r="P39" i="1"/>
  <c r="V38" i="1"/>
  <c r="P36" i="1"/>
  <c r="Q36" i="1" s="1"/>
  <c r="P42" i="1"/>
  <c r="Q42" i="1" s="1"/>
  <c r="V41" i="1"/>
  <c r="P41" i="1"/>
  <c r="V40" i="1"/>
  <c r="P38" i="1"/>
  <c r="Q38" i="1" s="1"/>
  <c r="V37" i="1"/>
  <c r="P37" i="1"/>
  <c r="V36" i="1"/>
  <c r="I2" i="3"/>
  <c r="H2" i="3"/>
  <c r="H10" i="3" l="1"/>
  <c r="V49" i="1"/>
  <c r="O50" i="1"/>
  <c r="P49" i="1"/>
  <c r="Q49" i="1" s="1"/>
  <c r="Q37" i="1"/>
  <c r="Q41" i="1"/>
  <c r="Q39" i="1"/>
  <c r="B34" i="1"/>
  <c r="B32" i="1"/>
  <c r="O51" i="1" l="1"/>
  <c r="P50" i="1"/>
  <c r="Q50" i="1" s="1"/>
  <c r="V50" i="1"/>
  <c r="N13" i="2"/>
  <c r="G5" i="4" s="1"/>
  <c r="I5" i="4" s="1"/>
  <c r="F2" i="3"/>
  <c r="B33" i="1" s="1"/>
  <c r="I1" i="3"/>
  <c r="K3" i="3"/>
  <c r="H3" i="3"/>
  <c r="H11" i="3" s="1"/>
  <c r="C2" i="3"/>
  <c r="B31" i="1" s="1"/>
  <c r="H1" i="3"/>
  <c r="H9" i="3" s="1"/>
  <c r="N15" i="2" l="1"/>
  <c r="G7" i="4" s="1"/>
  <c r="I7" i="4" s="1"/>
  <c r="B16" i="3"/>
  <c r="N14" i="2"/>
  <c r="G6" i="4" s="1"/>
  <c r="I6" i="4" s="1"/>
  <c r="B17" i="3"/>
  <c r="D16" i="4" s="1"/>
  <c r="B15" i="3"/>
  <c r="D17" i="4" s="1"/>
  <c r="O52" i="1"/>
  <c r="P51" i="1"/>
  <c r="Q51" i="1" s="1"/>
  <c r="V51" i="1"/>
  <c r="E16" i="4" l="1"/>
  <c r="H16" i="4"/>
  <c r="I16" i="4" s="1"/>
  <c r="C16" i="3"/>
  <c r="D18" i="4"/>
  <c r="E17" i="4"/>
  <c r="H17" i="4"/>
  <c r="I17" i="4" s="1"/>
  <c r="C17" i="3"/>
  <c r="C15" i="3"/>
  <c r="N3" i="2"/>
  <c r="B18" i="3"/>
  <c r="C18" i="3" s="1"/>
  <c r="N12" i="2" s="1"/>
  <c r="O53" i="1"/>
  <c r="V52" i="1"/>
  <c r="P52" i="1"/>
  <c r="Q52" i="1" s="1"/>
  <c r="J23" i="1"/>
  <c r="E18" i="4" l="1"/>
  <c r="H18" i="4"/>
  <c r="I18" i="4" s="1"/>
  <c r="O54" i="1"/>
  <c r="P53" i="1"/>
  <c r="Q53" i="1" s="1"/>
  <c r="V53" i="1"/>
  <c r="B24" i="2"/>
  <c r="N18" i="2"/>
  <c r="C24" i="2" s="1"/>
  <c r="C26" i="2"/>
  <c r="C25" i="2"/>
  <c r="R15" i="2"/>
  <c r="B28" i="2" s="1"/>
  <c r="F28" i="2" s="1"/>
  <c r="B27" i="2"/>
  <c r="F27" i="2" s="1"/>
  <c r="N16" i="2"/>
  <c r="K13" i="2"/>
  <c r="B26" i="2" s="1"/>
  <c r="H13" i="2"/>
  <c r="B25" i="2" s="1"/>
  <c r="C23" i="2"/>
  <c r="B16" i="2"/>
  <c r="B23" i="2" s="1"/>
  <c r="B14" i="2"/>
  <c r="C6" i="2"/>
  <c r="C8" i="2" s="1"/>
  <c r="B6" i="4" l="1"/>
  <c r="B13" i="4" s="1"/>
  <c r="C13" i="4" s="1"/>
  <c r="V13" i="1"/>
  <c r="B15" i="2"/>
  <c r="O55" i="1"/>
  <c r="P54" i="1"/>
  <c r="Q54" i="1" s="1"/>
  <c r="V54" i="1"/>
  <c r="C7" i="2"/>
  <c r="D14" i="2"/>
  <c r="B47" i="1"/>
  <c r="B48" i="1" s="1"/>
  <c r="B43" i="1"/>
  <c r="D6" i="4" l="1"/>
  <c r="H13" i="4"/>
  <c r="D13" i="4"/>
  <c r="D15" i="2"/>
  <c r="B7" i="4"/>
  <c r="D7" i="4" s="1"/>
  <c r="O56" i="1"/>
  <c r="V55" i="1"/>
  <c r="P55" i="1"/>
  <c r="Q55" i="1" s="1"/>
  <c r="D26" i="2"/>
  <c r="E26" i="2" s="1"/>
  <c r="F26" i="2" s="1"/>
  <c r="D25" i="2"/>
  <c r="E25" i="2" s="1"/>
  <c r="F25" i="2" s="1"/>
  <c r="D24" i="2"/>
  <c r="E24" i="2" s="1"/>
  <c r="F24" i="2" s="1"/>
  <c r="D23" i="2"/>
  <c r="E23" i="2" s="1"/>
  <c r="F23" i="2" s="1"/>
  <c r="P8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D20" i="4" l="1"/>
  <c r="E13" i="4"/>
  <c r="I13" i="4"/>
  <c r="H20" i="4"/>
  <c r="I20" i="4" s="1"/>
  <c r="F29" i="2"/>
  <c r="F30" i="2" s="1"/>
  <c r="P11" i="1" s="1"/>
  <c r="U116" i="1" s="1"/>
  <c r="O57" i="1"/>
  <c r="P56" i="1"/>
  <c r="Q56" i="1" s="1"/>
  <c r="V56" i="1"/>
  <c r="F47" i="1"/>
  <c r="B51" i="1"/>
  <c r="B49" i="1"/>
  <c r="B44" i="1"/>
  <c r="B45" i="1" s="1"/>
  <c r="B54" i="1" s="1"/>
  <c r="T112" i="1"/>
  <c r="T113" i="1"/>
  <c r="T114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E20" i="4" l="1"/>
  <c r="B29" i="1"/>
  <c r="B55" i="1"/>
  <c r="O58" i="1"/>
  <c r="V57" i="1"/>
  <c r="P57" i="1"/>
  <c r="Q57" i="1" s="1"/>
  <c r="U110" i="1"/>
  <c r="U109" i="1"/>
  <c r="U108" i="1"/>
  <c r="U106" i="1"/>
  <c r="U105" i="1"/>
  <c r="U100" i="1"/>
  <c r="U111" i="1"/>
  <c r="U107" i="1"/>
  <c r="U103" i="1"/>
  <c r="U114" i="1"/>
  <c r="U113" i="1"/>
  <c r="U119" i="1"/>
  <c r="U127" i="1"/>
  <c r="U104" i="1"/>
  <c r="U102" i="1"/>
  <c r="U101" i="1"/>
  <c r="U112" i="1"/>
  <c r="U134" i="1"/>
  <c r="U123" i="1"/>
  <c r="U129" i="1"/>
  <c r="U117" i="1"/>
  <c r="U132" i="1"/>
  <c r="U115" i="1"/>
  <c r="U120" i="1"/>
  <c r="U124" i="1"/>
  <c r="U128" i="1"/>
  <c r="U133" i="1"/>
  <c r="U118" i="1"/>
  <c r="U121" i="1"/>
  <c r="U122" i="1"/>
  <c r="U125" i="1"/>
  <c r="U130" i="1"/>
  <c r="U126" i="1"/>
  <c r="U131" i="1"/>
  <c r="Z8" i="1"/>
  <c r="O59" i="1" l="1"/>
  <c r="P58" i="1"/>
  <c r="Q58" i="1" s="1"/>
  <c r="V58" i="1"/>
  <c r="B30" i="1"/>
  <c r="O60" i="1" l="1"/>
  <c r="P59" i="1"/>
  <c r="Q59" i="1" s="1"/>
  <c r="V59" i="1"/>
  <c r="B57" i="1"/>
  <c r="B38" i="1"/>
  <c r="V16" i="1"/>
  <c r="O61" i="1" l="1"/>
  <c r="V60" i="1"/>
  <c r="P60" i="1"/>
  <c r="Q60" i="1" s="1"/>
  <c r="AA74" i="1"/>
  <c r="O62" i="1" l="1"/>
  <c r="P61" i="1"/>
  <c r="Q61" i="1" s="1"/>
  <c r="V61" i="1"/>
  <c r="B59" i="1" l="1"/>
  <c r="O63" i="1"/>
  <c r="P62" i="1"/>
  <c r="Q62" i="1" s="1"/>
  <c r="V62" i="1"/>
  <c r="X74" i="1"/>
  <c r="O64" i="1" l="1"/>
  <c r="V63" i="1"/>
  <c r="P63" i="1"/>
  <c r="Q63" i="1" s="1"/>
  <c r="T90" i="1"/>
  <c r="U90" i="1" s="1"/>
  <c r="T91" i="1"/>
  <c r="U91" i="1" s="1"/>
  <c r="T92" i="1"/>
  <c r="U92" i="1" s="1"/>
  <c r="T93" i="1"/>
  <c r="U93" i="1" s="1"/>
  <c r="T94" i="1"/>
  <c r="U94" i="1" s="1"/>
  <c r="T95" i="1"/>
  <c r="U95" i="1" s="1"/>
  <c r="T96" i="1"/>
  <c r="U96" i="1" s="1"/>
  <c r="T97" i="1"/>
  <c r="U97" i="1" s="1"/>
  <c r="T98" i="1"/>
  <c r="U98" i="1" s="1"/>
  <c r="T99" i="1"/>
  <c r="U99" i="1" s="1"/>
  <c r="O75" i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T75" i="1"/>
  <c r="U75" i="1" s="1"/>
  <c r="T76" i="1"/>
  <c r="U76" i="1" s="1"/>
  <c r="T77" i="1"/>
  <c r="U77" i="1" s="1"/>
  <c r="T78" i="1"/>
  <c r="U78" i="1" s="1"/>
  <c r="T79" i="1"/>
  <c r="U79" i="1" s="1"/>
  <c r="T80" i="1"/>
  <c r="U80" i="1" s="1"/>
  <c r="T81" i="1"/>
  <c r="U81" i="1" s="1"/>
  <c r="T82" i="1"/>
  <c r="U82" i="1" s="1"/>
  <c r="T83" i="1"/>
  <c r="U83" i="1" s="1"/>
  <c r="T84" i="1"/>
  <c r="U84" i="1" s="1"/>
  <c r="T85" i="1"/>
  <c r="U85" i="1" s="1"/>
  <c r="T86" i="1"/>
  <c r="U86" i="1" s="1"/>
  <c r="T87" i="1"/>
  <c r="U87" i="1" s="1"/>
  <c r="T88" i="1"/>
  <c r="U88" i="1" s="1"/>
  <c r="T89" i="1"/>
  <c r="U89" i="1" s="1"/>
  <c r="T74" i="1"/>
  <c r="Q74" i="1"/>
  <c r="O65" i="1" l="1"/>
  <c r="P64" i="1"/>
  <c r="Q64" i="1" s="1"/>
  <c r="V64" i="1"/>
  <c r="O91" i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S74" i="1"/>
  <c r="V74" i="1" s="1"/>
  <c r="P16" i="1"/>
  <c r="V17" i="1"/>
  <c r="O66" i="1" l="1"/>
  <c r="V65" i="1"/>
  <c r="P65" i="1"/>
  <c r="Q65" i="1" s="1"/>
  <c r="P17" i="1"/>
  <c r="Q16" i="1"/>
  <c r="U74" i="1"/>
  <c r="O67" i="1" l="1"/>
  <c r="O68" i="1" s="1"/>
  <c r="V66" i="1"/>
  <c r="P66" i="1"/>
  <c r="Q66" i="1" s="1"/>
  <c r="P18" i="1"/>
  <c r="Q18" i="1" s="1"/>
  <c r="V18" i="1"/>
  <c r="Q17" i="1"/>
  <c r="V19" i="1"/>
  <c r="V20" i="1" l="1"/>
  <c r="P19" i="1"/>
  <c r="Q19" i="1" l="1"/>
  <c r="V21" i="1"/>
  <c r="P20" i="1"/>
  <c r="Q20" i="1" l="1"/>
  <c r="V22" i="1"/>
  <c r="P21" i="1"/>
  <c r="Q21" i="1" l="1"/>
  <c r="V23" i="1"/>
  <c r="P22" i="1"/>
  <c r="Q22" i="1" l="1"/>
  <c r="V24" i="1"/>
  <c r="P23" i="1"/>
  <c r="V25" i="1" l="1"/>
  <c r="P24" i="1"/>
  <c r="Q23" i="1"/>
  <c r="Q24" i="1" l="1"/>
  <c r="V26" i="1"/>
  <c r="P25" i="1"/>
  <c r="Q25" i="1" l="1"/>
  <c r="V27" i="1"/>
  <c r="P26" i="1"/>
  <c r="Q26" i="1" l="1"/>
  <c r="V28" i="1"/>
  <c r="P27" i="1"/>
  <c r="Q27" i="1" l="1"/>
  <c r="V29" i="1"/>
  <c r="P28" i="1"/>
  <c r="Q28" i="1" l="1"/>
  <c r="V30" i="1"/>
  <c r="P29" i="1"/>
  <c r="Q29" i="1" l="1"/>
  <c r="V31" i="1"/>
  <c r="P30" i="1"/>
  <c r="Q30" i="1" l="1"/>
  <c r="V32" i="1"/>
  <c r="P31" i="1"/>
  <c r="Q31" i="1" l="1"/>
  <c r="V33" i="1"/>
  <c r="P32" i="1"/>
  <c r="Q32" i="1" l="1"/>
  <c r="V34" i="1"/>
  <c r="P33" i="1"/>
  <c r="Q33" i="1" l="1"/>
  <c r="V35" i="1"/>
  <c r="P34" i="1"/>
  <c r="Q34" i="1" l="1"/>
  <c r="P35" i="1"/>
  <c r="Q35" i="1" l="1"/>
  <c r="V67" i="1" l="1"/>
  <c r="V68" i="1" l="1"/>
  <c r="P67" i="1"/>
  <c r="Q67" i="1" l="1"/>
  <c r="P68" i="1"/>
  <c r="Q68" i="1" l="1"/>
  <c r="V8" i="1" l="1"/>
  <c r="V9" i="1" s="1"/>
  <c r="W74" i="1"/>
  <c r="Y74" i="1" s="1"/>
  <c r="P75" i="1" s="1"/>
  <c r="X45" i="1" l="1"/>
  <c r="X49" i="1"/>
  <c r="X53" i="1"/>
  <c r="X57" i="1"/>
  <c r="X61" i="1"/>
  <c r="X63" i="1"/>
  <c r="X65" i="1"/>
  <c r="X66" i="1"/>
  <c r="X43" i="1"/>
  <c r="X47" i="1"/>
  <c r="X51" i="1"/>
  <c r="X55" i="1"/>
  <c r="X59" i="1"/>
  <c r="X64" i="1"/>
  <c r="X62" i="1"/>
  <c r="X60" i="1"/>
  <c r="X58" i="1"/>
  <c r="X56" i="1"/>
  <c r="X54" i="1"/>
  <c r="X52" i="1"/>
  <c r="X50" i="1"/>
  <c r="X48" i="1"/>
  <c r="X46" i="1"/>
  <c r="X44" i="1"/>
  <c r="X40" i="1"/>
  <c r="X36" i="1"/>
  <c r="X42" i="1"/>
  <c r="X38" i="1"/>
  <c r="X37" i="1"/>
  <c r="X41" i="1"/>
  <c r="X39" i="1"/>
  <c r="AB75" i="1"/>
  <c r="AA75" i="1"/>
  <c r="Z74" i="1"/>
  <c r="V10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67" i="1"/>
  <c r="X68" i="1"/>
  <c r="AG44" i="1" l="1"/>
  <c r="AH44" i="1" s="1"/>
  <c r="AF44" i="1"/>
  <c r="S44" i="1"/>
  <c r="AG48" i="1"/>
  <c r="AH48" i="1" s="1"/>
  <c r="AF48" i="1"/>
  <c r="S48" i="1"/>
  <c r="AG52" i="1"/>
  <c r="AH52" i="1" s="1"/>
  <c r="AF52" i="1"/>
  <c r="S52" i="1"/>
  <c r="AG56" i="1"/>
  <c r="AH56" i="1" s="1"/>
  <c r="AF56" i="1"/>
  <c r="S56" i="1"/>
  <c r="AG60" i="1"/>
  <c r="AH60" i="1" s="1"/>
  <c r="AF60" i="1"/>
  <c r="S60" i="1"/>
  <c r="AG64" i="1"/>
  <c r="AH64" i="1" s="1"/>
  <c r="AF64" i="1"/>
  <c r="S64" i="1"/>
  <c r="AG55" i="1"/>
  <c r="AH55" i="1" s="1"/>
  <c r="S55" i="1"/>
  <c r="AF55" i="1"/>
  <c r="AG47" i="1"/>
  <c r="AH47" i="1" s="1"/>
  <c r="S47" i="1"/>
  <c r="AF47" i="1"/>
  <c r="S66" i="1"/>
  <c r="AG66" i="1"/>
  <c r="AH66" i="1" s="1"/>
  <c r="AF66" i="1"/>
  <c r="AG63" i="1"/>
  <c r="AH63" i="1" s="1"/>
  <c r="AF63" i="1"/>
  <c r="S63" i="1"/>
  <c r="S57" i="1"/>
  <c r="AG57" i="1"/>
  <c r="AH57" i="1" s="1"/>
  <c r="AF57" i="1"/>
  <c r="AG49" i="1"/>
  <c r="AH49" i="1" s="1"/>
  <c r="S49" i="1"/>
  <c r="R49" i="1" s="1"/>
  <c r="AF49" i="1"/>
  <c r="AA43" i="1"/>
  <c r="AA44" i="1"/>
  <c r="AA47" i="1"/>
  <c r="AA48" i="1"/>
  <c r="AA51" i="1"/>
  <c r="AA52" i="1"/>
  <c r="AA55" i="1"/>
  <c r="AA56" i="1"/>
  <c r="AA59" i="1"/>
  <c r="AA60" i="1"/>
  <c r="AA62" i="1"/>
  <c r="AA64" i="1"/>
  <c r="AA45" i="1"/>
  <c r="AA46" i="1"/>
  <c r="AA49" i="1"/>
  <c r="AA50" i="1"/>
  <c r="AA53" i="1"/>
  <c r="AA54" i="1"/>
  <c r="AA57" i="1"/>
  <c r="AA58" i="1"/>
  <c r="AA61" i="1"/>
  <c r="AA63" i="1"/>
  <c r="AA65" i="1"/>
  <c r="AA66" i="1"/>
  <c r="AG46" i="1"/>
  <c r="AH46" i="1" s="1"/>
  <c r="AF46" i="1"/>
  <c r="S46" i="1"/>
  <c r="AG50" i="1"/>
  <c r="AH50" i="1" s="1"/>
  <c r="AF50" i="1"/>
  <c r="S50" i="1"/>
  <c r="S54" i="1"/>
  <c r="AG54" i="1"/>
  <c r="AH54" i="1" s="1"/>
  <c r="AF54" i="1"/>
  <c r="S58" i="1"/>
  <c r="AF58" i="1"/>
  <c r="AG58" i="1"/>
  <c r="AH58" i="1" s="1"/>
  <c r="AG62" i="1"/>
  <c r="AH62" i="1" s="1"/>
  <c r="S62" i="1"/>
  <c r="AF62" i="1"/>
  <c r="AG59" i="1"/>
  <c r="AH59" i="1" s="1"/>
  <c r="S59" i="1"/>
  <c r="AF59" i="1"/>
  <c r="AG51" i="1"/>
  <c r="AH51" i="1" s="1"/>
  <c r="AF51" i="1"/>
  <c r="S51" i="1"/>
  <c r="R51" i="1" s="1"/>
  <c r="AG43" i="1"/>
  <c r="AH43" i="1" s="1"/>
  <c r="S43" i="1"/>
  <c r="AF43" i="1"/>
  <c r="AF65" i="1"/>
  <c r="AG65" i="1"/>
  <c r="AH65" i="1" s="1"/>
  <c r="S65" i="1"/>
  <c r="AG61" i="1"/>
  <c r="AH61" i="1" s="1"/>
  <c r="S61" i="1"/>
  <c r="AF61" i="1"/>
  <c r="AG53" i="1"/>
  <c r="AH53" i="1" s="1"/>
  <c r="S53" i="1"/>
  <c r="AF53" i="1"/>
  <c r="AG45" i="1"/>
  <c r="AH45" i="1" s="1"/>
  <c r="S45" i="1"/>
  <c r="AF45" i="1"/>
  <c r="AG41" i="1"/>
  <c r="AH41" i="1" s="1"/>
  <c r="AF41" i="1"/>
  <c r="S41" i="1"/>
  <c r="AG36" i="1"/>
  <c r="AH36" i="1" s="1"/>
  <c r="S36" i="1"/>
  <c r="AF36" i="1"/>
  <c r="AG39" i="1"/>
  <c r="AH39" i="1" s="1"/>
  <c r="AF39" i="1"/>
  <c r="S39" i="1"/>
  <c r="AG37" i="1"/>
  <c r="AH37" i="1" s="1"/>
  <c r="S37" i="1"/>
  <c r="AF37" i="1"/>
  <c r="AG42" i="1"/>
  <c r="AH42" i="1" s="1"/>
  <c r="S42" i="1"/>
  <c r="AF42" i="1"/>
  <c r="S40" i="1"/>
  <c r="AF40" i="1"/>
  <c r="AG40" i="1"/>
  <c r="AH40" i="1" s="1"/>
  <c r="AA40" i="1"/>
  <c r="AA39" i="1"/>
  <c r="AA36" i="1"/>
  <c r="AA42" i="1"/>
  <c r="AA41" i="1"/>
  <c r="AA38" i="1"/>
  <c r="AA37" i="1"/>
  <c r="AF38" i="1"/>
  <c r="AG38" i="1"/>
  <c r="AH38" i="1" s="1"/>
  <c r="S38" i="1"/>
  <c r="AF19" i="1"/>
  <c r="AG19" i="1"/>
  <c r="AH19" i="1" s="1"/>
  <c r="S19" i="1"/>
  <c r="AG26" i="1"/>
  <c r="AH26" i="1" s="1"/>
  <c r="S26" i="1"/>
  <c r="AF26" i="1"/>
  <c r="S18" i="1"/>
  <c r="AG18" i="1"/>
  <c r="AH18" i="1" s="1"/>
  <c r="AF18" i="1"/>
  <c r="AG27" i="1"/>
  <c r="AH27" i="1" s="1"/>
  <c r="S27" i="1"/>
  <c r="AF27" i="1"/>
  <c r="S16" i="1"/>
  <c r="T16" i="1" s="1"/>
  <c r="U16" i="1" s="1"/>
  <c r="W16" i="1" s="1"/>
  <c r="AB16" i="1" s="1"/>
  <c r="AG16" i="1"/>
  <c r="AH16" i="1" s="1"/>
  <c r="AF16" i="1"/>
  <c r="Y16" i="1"/>
  <c r="Z16" i="1" s="1"/>
  <c r="S35" i="1"/>
  <c r="AF35" i="1"/>
  <c r="AG35" i="1"/>
  <c r="AH35" i="1" s="1"/>
  <c r="AG68" i="1"/>
  <c r="AH68" i="1" s="1"/>
  <c r="S68" i="1"/>
  <c r="AF68" i="1"/>
  <c r="AG25" i="1"/>
  <c r="AH25" i="1" s="1"/>
  <c r="AF25" i="1"/>
  <c r="S25" i="1"/>
  <c r="AG24" i="1"/>
  <c r="AH24" i="1" s="1"/>
  <c r="S24" i="1"/>
  <c r="AF24" i="1"/>
  <c r="AG23" i="1"/>
  <c r="AH23" i="1" s="1"/>
  <c r="S23" i="1"/>
  <c r="AF23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67" i="1"/>
  <c r="AA68" i="1"/>
  <c r="AG67" i="1"/>
  <c r="AH67" i="1" s="1"/>
  <c r="S67" i="1"/>
  <c r="AF67" i="1"/>
  <c r="AG17" i="1"/>
  <c r="AH17" i="1" s="1"/>
  <c r="AF17" i="1"/>
  <c r="S17" i="1"/>
  <c r="AG32" i="1"/>
  <c r="AH32" i="1" s="1"/>
  <c r="S32" i="1"/>
  <c r="AF32" i="1"/>
  <c r="AG31" i="1"/>
  <c r="AH31" i="1" s="1"/>
  <c r="AF31" i="1"/>
  <c r="S31" i="1"/>
  <c r="S30" i="1"/>
  <c r="AF30" i="1"/>
  <c r="AG30" i="1"/>
  <c r="AH30" i="1" s="1"/>
  <c r="AG22" i="1"/>
  <c r="AH22" i="1" s="1"/>
  <c r="S22" i="1"/>
  <c r="AF22" i="1"/>
  <c r="AG34" i="1"/>
  <c r="AH34" i="1" s="1"/>
  <c r="S34" i="1"/>
  <c r="AF34" i="1"/>
  <c r="AG33" i="1"/>
  <c r="AH33" i="1" s="1"/>
  <c r="S33" i="1"/>
  <c r="AF33" i="1"/>
  <c r="S29" i="1"/>
  <c r="AF29" i="1"/>
  <c r="AG29" i="1"/>
  <c r="AH29" i="1" s="1"/>
  <c r="AG21" i="1"/>
  <c r="AH21" i="1" s="1"/>
  <c r="S21" i="1"/>
  <c r="AF21" i="1"/>
  <c r="S28" i="1"/>
  <c r="AF28" i="1"/>
  <c r="AG28" i="1"/>
  <c r="AH28" i="1" s="1"/>
  <c r="AG20" i="1"/>
  <c r="AH20" i="1" s="1"/>
  <c r="S20" i="1"/>
  <c r="AF20" i="1"/>
  <c r="X75" i="1"/>
  <c r="Q75" i="1"/>
  <c r="T20" i="1" l="1"/>
  <c r="Y20" i="1" s="1"/>
  <c r="Z20" i="1" s="1"/>
  <c r="R20" i="1"/>
  <c r="AD20" i="1" s="1"/>
  <c r="T21" i="1"/>
  <c r="U21" i="1" s="1"/>
  <c r="W21" i="1" s="1"/>
  <c r="AB21" i="1" s="1"/>
  <c r="R21" i="1"/>
  <c r="AD21" i="1" s="1"/>
  <c r="T22" i="1"/>
  <c r="U22" i="1" s="1"/>
  <c r="W22" i="1" s="1"/>
  <c r="AB22" i="1" s="1"/>
  <c r="R22" i="1"/>
  <c r="AD22" i="1" s="1"/>
  <c r="T23" i="1"/>
  <c r="U23" i="1" s="1"/>
  <c r="W23" i="1" s="1"/>
  <c r="AB23" i="1" s="1"/>
  <c r="R23" i="1"/>
  <c r="AD23" i="1" s="1"/>
  <c r="T17" i="1"/>
  <c r="Y17" i="1" s="1"/>
  <c r="Z17" i="1" s="1"/>
  <c r="R17" i="1"/>
  <c r="AD17" i="1" s="1"/>
  <c r="T18" i="1"/>
  <c r="U18" i="1" s="1"/>
  <c r="W18" i="1" s="1"/>
  <c r="AB18" i="1" s="1"/>
  <c r="R18" i="1"/>
  <c r="AD18" i="1" s="1"/>
  <c r="T19" i="1"/>
  <c r="U19" i="1" s="1"/>
  <c r="W19" i="1" s="1"/>
  <c r="AB19" i="1" s="1"/>
  <c r="R19" i="1"/>
  <c r="AD19" i="1" s="1"/>
  <c r="T28" i="1"/>
  <c r="U28" i="1" s="1"/>
  <c r="W28" i="1" s="1"/>
  <c r="R28" i="1"/>
  <c r="T33" i="1"/>
  <c r="U33" i="1" s="1"/>
  <c r="W33" i="1" s="1"/>
  <c r="R33" i="1"/>
  <c r="T40" i="1"/>
  <c r="Y40" i="1" s="1"/>
  <c r="Z40" i="1" s="1"/>
  <c r="R40" i="1"/>
  <c r="T24" i="1"/>
  <c r="Y24" i="1" s="1"/>
  <c r="Z24" i="1" s="1"/>
  <c r="R24" i="1"/>
  <c r="T27" i="1"/>
  <c r="U27" i="1" s="1"/>
  <c r="W27" i="1" s="1"/>
  <c r="R27" i="1"/>
  <c r="T45" i="1"/>
  <c r="U45" i="1" s="1"/>
  <c r="W45" i="1" s="1"/>
  <c r="AB45" i="1" s="1"/>
  <c r="R45" i="1"/>
  <c r="T65" i="1"/>
  <c r="U65" i="1" s="1"/>
  <c r="W65" i="1" s="1"/>
  <c r="AB65" i="1" s="1"/>
  <c r="R65" i="1"/>
  <c r="T46" i="1"/>
  <c r="U46" i="1" s="1"/>
  <c r="W46" i="1" s="1"/>
  <c r="AE46" i="1" s="1"/>
  <c r="AC46" i="1" s="1"/>
  <c r="R46" i="1"/>
  <c r="T57" i="1"/>
  <c r="U57" i="1" s="1"/>
  <c r="W57" i="1" s="1"/>
  <c r="AB57" i="1" s="1"/>
  <c r="R57" i="1"/>
  <c r="T47" i="1"/>
  <c r="Y47" i="1" s="1"/>
  <c r="Z47" i="1" s="1"/>
  <c r="R47" i="1"/>
  <c r="T60" i="1"/>
  <c r="U60" i="1" s="1"/>
  <c r="W60" i="1" s="1"/>
  <c r="AB60" i="1" s="1"/>
  <c r="R60" i="1"/>
  <c r="T30" i="1"/>
  <c r="U30" i="1" s="1"/>
  <c r="W30" i="1" s="1"/>
  <c r="AE30" i="1" s="1"/>
  <c r="AC30" i="1" s="1"/>
  <c r="R30" i="1"/>
  <c r="T42" i="1"/>
  <c r="Y42" i="1" s="1"/>
  <c r="Z42" i="1" s="1"/>
  <c r="R42" i="1"/>
  <c r="T58" i="1"/>
  <c r="U58" i="1" s="1"/>
  <c r="W58" i="1" s="1"/>
  <c r="AB58" i="1" s="1"/>
  <c r="R58" i="1"/>
  <c r="T63" i="1"/>
  <c r="U63" i="1" s="1"/>
  <c r="W63" i="1" s="1"/>
  <c r="R63" i="1"/>
  <c r="T48" i="1"/>
  <c r="U48" i="1" s="1"/>
  <c r="W48" i="1" s="1"/>
  <c r="AE48" i="1" s="1"/>
  <c r="AC48" i="1" s="1"/>
  <c r="R48" i="1"/>
  <c r="T34" i="1"/>
  <c r="U34" i="1" s="1"/>
  <c r="W34" i="1" s="1"/>
  <c r="R34" i="1"/>
  <c r="T31" i="1"/>
  <c r="Y31" i="1" s="1"/>
  <c r="Z31" i="1" s="1"/>
  <c r="R31" i="1"/>
  <c r="T25" i="1"/>
  <c r="U25" i="1" s="1"/>
  <c r="W25" i="1" s="1"/>
  <c r="R25" i="1"/>
  <c r="T35" i="1"/>
  <c r="U35" i="1" s="1"/>
  <c r="W35" i="1" s="1"/>
  <c r="R35" i="1"/>
  <c r="T36" i="1"/>
  <c r="Y36" i="1" s="1"/>
  <c r="Z36" i="1" s="1"/>
  <c r="R36" i="1"/>
  <c r="T59" i="1"/>
  <c r="Y59" i="1" s="1"/>
  <c r="Z59" i="1" s="1"/>
  <c r="R59" i="1"/>
  <c r="T38" i="1"/>
  <c r="Y38" i="1" s="1"/>
  <c r="Z38" i="1" s="1"/>
  <c r="R38" i="1"/>
  <c r="T53" i="1"/>
  <c r="U53" i="1" s="1"/>
  <c r="W53" i="1" s="1"/>
  <c r="AE53" i="1" s="1"/>
  <c r="AC53" i="1" s="1"/>
  <c r="R53" i="1"/>
  <c r="T55" i="1"/>
  <c r="Y55" i="1" s="1"/>
  <c r="Z55" i="1" s="1"/>
  <c r="R55" i="1"/>
  <c r="T56" i="1"/>
  <c r="U56" i="1" s="1"/>
  <c r="W56" i="1" s="1"/>
  <c r="AB56" i="1" s="1"/>
  <c r="R56" i="1"/>
  <c r="T67" i="1"/>
  <c r="Y67" i="1" s="1"/>
  <c r="Z67" i="1" s="1"/>
  <c r="R67" i="1"/>
  <c r="T37" i="1"/>
  <c r="Y37" i="1" s="1"/>
  <c r="Z37" i="1" s="1"/>
  <c r="R37" i="1"/>
  <c r="T41" i="1"/>
  <c r="Y41" i="1" s="1"/>
  <c r="Z41" i="1" s="1"/>
  <c r="R41" i="1"/>
  <c r="T43" i="1"/>
  <c r="U43" i="1" s="1"/>
  <c r="W43" i="1" s="1"/>
  <c r="R43" i="1"/>
  <c r="T54" i="1"/>
  <c r="U54" i="1" s="1"/>
  <c r="W54" i="1" s="1"/>
  <c r="AE54" i="1" s="1"/>
  <c r="AC54" i="1" s="1"/>
  <c r="R54" i="1"/>
  <c r="T44" i="1"/>
  <c r="U44" i="1" s="1"/>
  <c r="W44" i="1" s="1"/>
  <c r="AB44" i="1" s="1"/>
  <c r="R44" i="1"/>
  <c r="T29" i="1"/>
  <c r="Y29" i="1" s="1"/>
  <c r="Z29" i="1" s="1"/>
  <c r="R29" i="1"/>
  <c r="T62" i="1"/>
  <c r="U62" i="1" s="1"/>
  <c r="W62" i="1" s="1"/>
  <c r="AB62" i="1" s="1"/>
  <c r="R62" i="1"/>
  <c r="T50" i="1"/>
  <c r="Y50" i="1" s="1"/>
  <c r="Z50" i="1" s="1"/>
  <c r="R50" i="1"/>
  <c r="T64" i="1"/>
  <c r="Y64" i="1" s="1"/>
  <c r="Z64" i="1" s="1"/>
  <c r="R64" i="1"/>
  <c r="T32" i="1"/>
  <c r="U32" i="1" s="1"/>
  <c r="W32" i="1" s="1"/>
  <c r="R32" i="1"/>
  <c r="T68" i="1"/>
  <c r="Y68" i="1" s="1"/>
  <c r="Z68" i="1" s="1"/>
  <c r="R68" i="1"/>
  <c r="T26" i="1"/>
  <c r="U26" i="1" s="1"/>
  <c r="W26" i="1" s="1"/>
  <c r="R26" i="1"/>
  <c r="T39" i="1"/>
  <c r="U39" i="1" s="1"/>
  <c r="W39" i="1" s="1"/>
  <c r="AB39" i="1" s="1"/>
  <c r="R39" i="1"/>
  <c r="T61" i="1"/>
  <c r="Y61" i="1" s="1"/>
  <c r="Z61" i="1" s="1"/>
  <c r="R61" i="1"/>
  <c r="T66" i="1"/>
  <c r="U66" i="1" s="1"/>
  <c r="W66" i="1" s="1"/>
  <c r="R66" i="1"/>
  <c r="T52" i="1"/>
  <c r="U52" i="1" s="1"/>
  <c r="W52" i="1" s="1"/>
  <c r="AE52" i="1" s="1"/>
  <c r="AC52" i="1" s="1"/>
  <c r="R52" i="1"/>
  <c r="T49" i="1"/>
  <c r="U49" i="1" s="1"/>
  <c r="W49" i="1" s="1"/>
  <c r="T51" i="1"/>
  <c r="U51" i="1" s="1"/>
  <c r="W51" i="1" s="1"/>
  <c r="U17" i="1"/>
  <c r="W17" i="1" s="1"/>
  <c r="AB17" i="1" s="1"/>
  <c r="S75" i="1"/>
  <c r="V75" i="1" s="1"/>
  <c r="W75" i="1" s="1"/>
  <c r="Y75" i="1" s="1"/>
  <c r="P76" i="1" s="1"/>
  <c r="AA76" i="1" s="1"/>
  <c r="Z75" i="1"/>
  <c r="U20" i="1" l="1"/>
  <c r="W20" i="1" s="1"/>
  <c r="AB20" i="1" s="1"/>
  <c r="Y18" i="1"/>
  <c r="Z18" i="1" s="1"/>
  <c r="Y21" i="1"/>
  <c r="Z21" i="1" s="1"/>
  <c r="Y23" i="1"/>
  <c r="Z23" i="1" s="1"/>
  <c r="Y22" i="1"/>
  <c r="Z22" i="1" s="1"/>
  <c r="Y19" i="1"/>
  <c r="Z19" i="1" s="1"/>
  <c r="Y65" i="1"/>
  <c r="Z65" i="1" s="1"/>
  <c r="U47" i="1"/>
  <c r="W47" i="1" s="1"/>
  <c r="AB47" i="1" s="1"/>
  <c r="AB30" i="1"/>
  <c r="Y27" i="1"/>
  <c r="Z27" i="1" s="1"/>
  <c r="Y28" i="1"/>
  <c r="Z28" i="1" s="1"/>
  <c r="AD52" i="1"/>
  <c r="AD54" i="1"/>
  <c r="AD53" i="1"/>
  <c r="AD48" i="1"/>
  <c r="AD30" i="1"/>
  <c r="U24" i="1"/>
  <c r="W24" i="1" s="1"/>
  <c r="AB24" i="1" s="1"/>
  <c r="Y33" i="1"/>
  <c r="Z33" i="1" s="1"/>
  <c r="U40" i="1"/>
  <c r="W40" i="1" s="1"/>
  <c r="AB40" i="1" s="1"/>
  <c r="Y30" i="1"/>
  <c r="Z30" i="1" s="1"/>
  <c r="Y57" i="1"/>
  <c r="Z57" i="1" s="1"/>
  <c r="Y46" i="1"/>
  <c r="Z46" i="1" s="1"/>
  <c r="Y34" i="1"/>
  <c r="Z34" i="1" s="1"/>
  <c r="U29" i="1"/>
  <c r="W29" i="1" s="1"/>
  <c r="AE29" i="1" s="1"/>
  <c r="AC29" i="1" s="1"/>
  <c r="AD29" i="1" s="1"/>
  <c r="AE60" i="1"/>
  <c r="AC60" i="1" s="1"/>
  <c r="AD60" i="1" s="1"/>
  <c r="U31" i="1"/>
  <c r="W31" i="1" s="1"/>
  <c r="AE31" i="1" s="1"/>
  <c r="AC31" i="1" s="1"/>
  <c r="AD31" i="1" s="1"/>
  <c r="Y25" i="1"/>
  <c r="Z25" i="1" s="1"/>
  <c r="U42" i="1"/>
  <c r="W42" i="1" s="1"/>
  <c r="AE42" i="1" s="1"/>
  <c r="AC42" i="1" s="1"/>
  <c r="AD42" i="1" s="1"/>
  <c r="Y60" i="1"/>
  <c r="Z60" i="1" s="1"/>
  <c r="Y45" i="1"/>
  <c r="Z45" i="1" s="1"/>
  <c r="AE65" i="1"/>
  <c r="AC65" i="1" s="1"/>
  <c r="AD65" i="1" s="1"/>
  <c r="Y35" i="1"/>
  <c r="Z35" i="1" s="1"/>
  <c r="Y43" i="1"/>
  <c r="Z43" i="1" s="1"/>
  <c r="U67" i="1"/>
  <c r="W67" i="1" s="1"/>
  <c r="AE67" i="1" s="1"/>
  <c r="AC67" i="1" s="1"/>
  <c r="AD67" i="1" s="1"/>
  <c r="U68" i="1"/>
  <c r="W68" i="1" s="1"/>
  <c r="AE68" i="1" s="1"/>
  <c r="AC68" i="1" s="1"/>
  <c r="AD68" i="1" s="1"/>
  <c r="AE56" i="1"/>
  <c r="AC56" i="1" s="1"/>
  <c r="AD56" i="1" s="1"/>
  <c r="Y26" i="1"/>
  <c r="Z26" i="1" s="1"/>
  <c r="U36" i="1"/>
  <c r="W36" i="1" s="1"/>
  <c r="AE36" i="1" s="1"/>
  <c r="AC36" i="1" s="1"/>
  <c r="AD36" i="1" s="1"/>
  <c r="U64" i="1"/>
  <c r="W64" i="1" s="1"/>
  <c r="AE64" i="1" s="1"/>
  <c r="AC64" i="1" s="1"/>
  <c r="AD64" i="1" s="1"/>
  <c r="Y63" i="1"/>
  <c r="Z63" i="1" s="1"/>
  <c r="U59" i="1"/>
  <c r="W59" i="1" s="1"/>
  <c r="AB59" i="1" s="1"/>
  <c r="Y62" i="1"/>
  <c r="Z62" i="1" s="1"/>
  <c r="Y54" i="1"/>
  <c r="Z54" i="1" s="1"/>
  <c r="AB46" i="1"/>
  <c r="AE45" i="1"/>
  <c r="AC45" i="1" s="1"/>
  <c r="AD45" i="1" s="1"/>
  <c r="AE62" i="1"/>
  <c r="AC62" i="1" s="1"/>
  <c r="AD62" i="1" s="1"/>
  <c r="U38" i="1"/>
  <c r="W38" i="1" s="1"/>
  <c r="AB38" i="1" s="1"/>
  <c r="Y58" i="1"/>
  <c r="Z58" i="1" s="1"/>
  <c r="Y66" i="1"/>
  <c r="Z66" i="1" s="1"/>
  <c r="AE44" i="1"/>
  <c r="AC44" i="1" s="1"/>
  <c r="AD44" i="1" s="1"/>
  <c r="AE57" i="1"/>
  <c r="AC57" i="1" s="1"/>
  <c r="AD57" i="1" s="1"/>
  <c r="AE39" i="1"/>
  <c r="AC39" i="1" s="1"/>
  <c r="AD39" i="1" s="1"/>
  <c r="AE58" i="1"/>
  <c r="AC58" i="1" s="1"/>
  <c r="AD58" i="1" s="1"/>
  <c r="AB53" i="1"/>
  <c r="Y32" i="1"/>
  <c r="Z32" i="1" s="1"/>
  <c r="U41" i="1"/>
  <c r="W41" i="1" s="1"/>
  <c r="AE41" i="1" s="1"/>
  <c r="AC41" i="1" s="1"/>
  <c r="AD41" i="1" s="1"/>
  <c r="U37" i="1"/>
  <c r="W37" i="1" s="1"/>
  <c r="AB37" i="1" s="1"/>
  <c r="Y39" i="1"/>
  <c r="Z39" i="1" s="1"/>
  <c r="U61" i="1"/>
  <c r="W61" i="1" s="1"/>
  <c r="AE61" i="1" s="1"/>
  <c r="AC61" i="1" s="1"/>
  <c r="AD61" i="1" s="1"/>
  <c r="U50" i="1"/>
  <c r="W50" i="1" s="1"/>
  <c r="AB50" i="1" s="1"/>
  <c r="Y44" i="1"/>
  <c r="Z44" i="1" s="1"/>
  <c r="Y53" i="1"/>
  <c r="Z53" i="1" s="1"/>
  <c r="Y48" i="1"/>
  <c r="Z48" i="1" s="1"/>
  <c r="AB54" i="1"/>
  <c r="AB48" i="1"/>
  <c r="Y52" i="1"/>
  <c r="Z52" i="1" s="1"/>
  <c r="AB52" i="1"/>
  <c r="U55" i="1"/>
  <c r="W55" i="1" s="1"/>
  <c r="AB55" i="1" s="1"/>
  <c r="AD46" i="1"/>
  <c r="Y56" i="1"/>
  <c r="Z56" i="1" s="1"/>
  <c r="AB32" i="1"/>
  <c r="AE32" i="1"/>
  <c r="AC32" i="1" s="1"/>
  <c r="AD32" i="1" s="1"/>
  <c r="AB35" i="1"/>
  <c r="AE35" i="1"/>
  <c r="AC35" i="1" s="1"/>
  <c r="AD35" i="1" s="1"/>
  <c r="AB25" i="1"/>
  <c r="AE25" i="1"/>
  <c r="AC25" i="1" s="1"/>
  <c r="AD25" i="1" s="1"/>
  <c r="AB34" i="1"/>
  <c r="AE34" i="1"/>
  <c r="AC34" i="1" s="1"/>
  <c r="AD34" i="1" s="1"/>
  <c r="AB27" i="1"/>
  <c r="AE27" i="1"/>
  <c r="AC27" i="1" s="1"/>
  <c r="AD27" i="1" s="1"/>
  <c r="AB33" i="1"/>
  <c r="AE33" i="1"/>
  <c r="AC33" i="1" s="1"/>
  <c r="AD33" i="1" s="1"/>
  <c r="AB26" i="1"/>
  <c r="AE26" i="1"/>
  <c r="AC26" i="1" s="1"/>
  <c r="AD26" i="1" s="1"/>
  <c r="AB28" i="1"/>
  <c r="AE28" i="1"/>
  <c r="AC28" i="1" s="1"/>
  <c r="AD28" i="1" s="1"/>
  <c r="AB51" i="1"/>
  <c r="AE51" i="1"/>
  <c r="AC51" i="1" s="1"/>
  <c r="AD51" i="1" s="1"/>
  <c r="AB49" i="1"/>
  <c r="AE49" i="1"/>
  <c r="AC49" i="1" s="1"/>
  <c r="AD49" i="1" s="1"/>
  <c r="AB66" i="1"/>
  <c r="AE66" i="1"/>
  <c r="AC66" i="1" s="1"/>
  <c r="AD66" i="1" s="1"/>
  <c r="AB63" i="1"/>
  <c r="AE63" i="1"/>
  <c r="AC63" i="1" s="1"/>
  <c r="AD63" i="1" s="1"/>
  <c r="AB43" i="1"/>
  <c r="AE43" i="1"/>
  <c r="AC43" i="1" s="1"/>
  <c r="AD43" i="1" s="1"/>
  <c r="Y51" i="1"/>
  <c r="Z51" i="1" s="1"/>
  <c r="Y49" i="1"/>
  <c r="Z49" i="1" s="1"/>
  <c r="AB76" i="1"/>
  <c r="AB67" i="1" l="1"/>
  <c r="AE47" i="1"/>
  <c r="AC47" i="1" s="1"/>
  <c r="AD47" i="1" s="1"/>
  <c r="AB42" i="1"/>
  <c r="AE59" i="1"/>
  <c r="AC59" i="1" s="1"/>
  <c r="AD59" i="1" s="1"/>
  <c r="AE38" i="1"/>
  <c r="AC38" i="1" s="1"/>
  <c r="AD38" i="1" s="1"/>
  <c r="AB68" i="1"/>
  <c r="AE24" i="1"/>
  <c r="AC24" i="1" s="1"/>
  <c r="AD24" i="1" s="1"/>
  <c r="AE50" i="1"/>
  <c r="AC50" i="1" s="1"/>
  <c r="AD50" i="1" s="1"/>
  <c r="AB41" i="1"/>
  <c r="AB36" i="1"/>
  <c r="AB29" i="1"/>
  <c r="AB31" i="1"/>
  <c r="AE37" i="1"/>
  <c r="AC37" i="1" s="1"/>
  <c r="AD37" i="1" s="1"/>
  <c r="AB61" i="1"/>
  <c r="AE40" i="1"/>
  <c r="AC40" i="1" s="1"/>
  <c r="AD40" i="1" s="1"/>
  <c r="AB64" i="1"/>
  <c r="AE55" i="1"/>
  <c r="AC55" i="1" s="1"/>
  <c r="AD55" i="1" s="1"/>
  <c r="X76" i="1"/>
  <c r="Q76" i="1"/>
  <c r="Z76" i="1" l="1"/>
  <c r="S76" i="1"/>
  <c r="V76" i="1" s="1"/>
  <c r="W76" i="1" s="1"/>
  <c r="Y76" i="1" s="1"/>
  <c r="P77" i="1" s="1"/>
  <c r="AA77" i="1" s="1"/>
  <c r="AB77" i="1" l="1"/>
  <c r="X77" i="1" l="1"/>
  <c r="Q77" i="1"/>
  <c r="Z77" i="1" l="1"/>
  <c r="S77" i="1"/>
  <c r="V77" i="1" s="1"/>
  <c r="W77" i="1" s="1"/>
  <c r="Y77" i="1" s="1"/>
  <c r="P78" i="1" s="1"/>
  <c r="AA78" i="1" s="1"/>
  <c r="AB78" i="1" l="1"/>
  <c r="X78" i="1" l="1"/>
  <c r="Q78" i="1"/>
  <c r="Z78" i="1" l="1"/>
  <c r="S78" i="1"/>
  <c r="V78" i="1" l="1"/>
  <c r="W78" i="1" s="1"/>
  <c r="Y78" i="1" s="1"/>
  <c r="P79" i="1" s="1"/>
  <c r="AA79" i="1" s="1"/>
  <c r="AB79" i="1" l="1"/>
  <c r="X79" i="1" l="1"/>
  <c r="Q79" i="1"/>
  <c r="Z79" i="1" l="1"/>
  <c r="S79" i="1"/>
  <c r="V79" i="1" s="1"/>
  <c r="W79" i="1" s="1"/>
  <c r="Y79" i="1" s="1"/>
  <c r="P80" i="1" s="1"/>
  <c r="AA80" i="1" s="1"/>
  <c r="AB80" i="1" l="1"/>
  <c r="X80" i="1" l="1"/>
  <c r="Q80" i="1"/>
  <c r="S80" i="1" l="1"/>
  <c r="V80" i="1" s="1"/>
  <c r="W80" i="1" s="1"/>
  <c r="Y80" i="1" s="1"/>
  <c r="P81" i="1" s="1"/>
  <c r="AA81" i="1" s="1"/>
  <c r="Z80" i="1"/>
  <c r="AB81" i="1" l="1"/>
  <c r="X81" i="1" l="1"/>
  <c r="Q81" i="1"/>
  <c r="S81" i="1" l="1"/>
  <c r="V81" i="1" s="1"/>
  <c r="W81" i="1" s="1"/>
  <c r="Y81" i="1" s="1"/>
  <c r="P82" i="1" s="1"/>
  <c r="AA82" i="1" s="1"/>
  <c r="Z81" i="1"/>
  <c r="AB82" i="1" l="1"/>
  <c r="X82" i="1" l="1"/>
  <c r="Q82" i="1"/>
  <c r="Z82" i="1" l="1"/>
  <c r="S82" i="1"/>
  <c r="V82" i="1" s="1"/>
  <c r="W82" i="1" s="1"/>
  <c r="Y82" i="1" s="1"/>
  <c r="P83" i="1" s="1"/>
  <c r="AA83" i="1" s="1"/>
  <c r="AB83" i="1" l="1"/>
  <c r="X83" i="1" l="1"/>
  <c r="Q83" i="1"/>
  <c r="Z83" i="1" l="1"/>
  <c r="S83" i="1"/>
  <c r="V83" i="1" s="1"/>
  <c r="W83" i="1" s="1"/>
  <c r="Y83" i="1" s="1"/>
  <c r="P84" i="1" s="1"/>
  <c r="AA84" i="1" s="1"/>
  <c r="AB84" i="1" l="1"/>
  <c r="X84" i="1" l="1"/>
  <c r="Q84" i="1"/>
  <c r="S84" i="1" l="1"/>
  <c r="V84" i="1" s="1"/>
  <c r="W84" i="1" s="1"/>
  <c r="Y84" i="1" s="1"/>
  <c r="P85" i="1" s="1"/>
  <c r="AA85" i="1" s="1"/>
  <c r="Z84" i="1"/>
  <c r="AB85" i="1" l="1"/>
  <c r="X85" i="1" l="1"/>
  <c r="Q85" i="1"/>
  <c r="S85" i="1" l="1"/>
  <c r="V85" i="1" s="1"/>
  <c r="W85" i="1" s="1"/>
  <c r="Y85" i="1" s="1"/>
  <c r="P86" i="1" s="1"/>
  <c r="AA86" i="1" s="1"/>
  <c r="Z85" i="1"/>
  <c r="AB86" i="1" l="1"/>
  <c r="X86" i="1" l="1"/>
  <c r="Q86" i="1"/>
  <c r="S86" i="1" l="1"/>
  <c r="V86" i="1" s="1"/>
  <c r="W86" i="1" s="1"/>
  <c r="Y86" i="1" s="1"/>
  <c r="P87" i="1" s="1"/>
  <c r="AA87" i="1" s="1"/>
  <c r="Z86" i="1"/>
  <c r="AB87" i="1" l="1"/>
  <c r="X87" i="1" l="1"/>
  <c r="Q87" i="1"/>
  <c r="Z87" i="1" l="1"/>
  <c r="S87" i="1"/>
  <c r="V87" i="1" s="1"/>
  <c r="W87" i="1" s="1"/>
  <c r="Y87" i="1" s="1"/>
  <c r="P88" i="1" s="1"/>
  <c r="AA88" i="1" s="1"/>
  <c r="AB88" i="1" l="1"/>
  <c r="X88" i="1" l="1"/>
  <c r="Q88" i="1"/>
  <c r="Z88" i="1" l="1"/>
  <c r="S88" i="1"/>
  <c r="V88" i="1" s="1"/>
  <c r="W88" i="1" s="1"/>
  <c r="Y88" i="1" s="1"/>
  <c r="P89" i="1" s="1"/>
  <c r="AA89" i="1" s="1"/>
  <c r="AB89" i="1" l="1"/>
  <c r="X89" i="1" l="1"/>
  <c r="Q89" i="1"/>
  <c r="S89" i="1" l="1"/>
  <c r="V89" i="1" s="1"/>
  <c r="W89" i="1" s="1"/>
  <c r="Y89" i="1" s="1"/>
  <c r="P90" i="1" s="1"/>
  <c r="AA90" i="1" s="1"/>
  <c r="Z89" i="1"/>
  <c r="AB90" i="1" l="1"/>
  <c r="X90" i="1" l="1"/>
  <c r="Q90" i="1"/>
  <c r="S90" i="1" l="1"/>
  <c r="V90" i="1" s="1"/>
  <c r="W90" i="1" s="1"/>
  <c r="Y90" i="1" s="1"/>
  <c r="P91" i="1" s="1"/>
  <c r="AA91" i="1" s="1"/>
  <c r="Z90" i="1"/>
  <c r="AB91" i="1" l="1"/>
  <c r="X91" i="1" l="1"/>
  <c r="Q91" i="1"/>
  <c r="Z91" i="1" l="1"/>
  <c r="S91" i="1"/>
  <c r="V91" i="1" s="1"/>
  <c r="W91" i="1" s="1"/>
  <c r="Y91" i="1" s="1"/>
  <c r="P92" i="1" s="1"/>
  <c r="AA92" i="1" s="1"/>
  <c r="AB92" i="1" l="1"/>
  <c r="X92" i="1" l="1"/>
  <c r="Q92" i="1"/>
  <c r="S92" i="1" l="1"/>
  <c r="V92" i="1" s="1"/>
  <c r="W92" i="1" s="1"/>
  <c r="Y92" i="1" s="1"/>
  <c r="P93" i="1" s="1"/>
  <c r="AA93" i="1" s="1"/>
  <c r="Z92" i="1"/>
  <c r="AB93" i="1" l="1"/>
  <c r="X93" i="1" l="1"/>
  <c r="Q93" i="1"/>
  <c r="Z93" i="1" l="1"/>
  <c r="S93" i="1"/>
  <c r="V93" i="1" s="1"/>
  <c r="W93" i="1" s="1"/>
  <c r="Y93" i="1" s="1"/>
  <c r="P94" i="1" s="1"/>
  <c r="AA94" i="1" s="1"/>
  <c r="AB94" i="1" l="1"/>
  <c r="X94" i="1" l="1"/>
  <c r="Q94" i="1"/>
  <c r="Z94" i="1" l="1"/>
  <c r="S94" i="1"/>
  <c r="V94" i="1" s="1"/>
  <c r="W94" i="1" s="1"/>
  <c r="Y94" i="1" s="1"/>
  <c r="P95" i="1" s="1"/>
  <c r="AA95" i="1" s="1"/>
  <c r="AB95" i="1" l="1"/>
  <c r="X95" i="1" l="1"/>
  <c r="Q95" i="1"/>
  <c r="S95" i="1" l="1"/>
  <c r="V95" i="1" s="1"/>
  <c r="W95" i="1" s="1"/>
  <c r="Y95" i="1" s="1"/>
  <c r="P96" i="1" s="1"/>
  <c r="AA96" i="1" s="1"/>
  <c r="Z95" i="1"/>
  <c r="AB96" i="1" l="1"/>
  <c r="X96" i="1" l="1"/>
  <c r="Q96" i="1"/>
  <c r="S96" i="1" l="1"/>
  <c r="V96" i="1" s="1"/>
  <c r="W96" i="1" s="1"/>
  <c r="Y96" i="1" s="1"/>
  <c r="P97" i="1" s="1"/>
  <c r="AA97" i="1" s="1"/>
  <c r="Z96" i="1"/>
  <c r="AB97" i="1" l="1"/>
  <c r="X97" i="1" l="1"/>
  <c r="Q97" i="1"/>
  <c r="Z97" i="1" l="1"/>
  <c r="S97" i="1"/>
  <c r="V97" i="1" s="1"/>
  <c r="W97" i="1" s="1"/>
  <c r="Y97" i="1" s="1"/>
  <c r="P98" i="1" s="1"/>
  <c r="AA98" i="1" s="1"/>
  <c r="AB98" i="1" l="1"/>
  <c r="X98" i="1" l="1"/>
  <c r="Q98" i="1"/>
  <c r="S98" i="1" l="1"/>
  <c r="V98" i="1" s="1"/>
  <c r="W98" i="1" s="1"/>
  <c r="Y98" i="1" s="1"/>
  <c r="P99" i="1" s="1"/>
  <c r="Z98" i="1"/>
  <c r="AA99" i="1" l="1"/>
  <c r="AB99" i="1"/>
  <c r="X99" i="1" l="1"/>
  <c r="Q99" i="1"/>
  <c r="S99" i="1" l="1"/>
  <c r="V99" i="1" s="1"/>
  <c r="W99" i="1" s="1"/>
  <c r="Y99" i="1" s="1"/>
  <c r="P100" i="1" s="1"/>
  <c r="Z99" i="1"/>
  <c r="AA100" i="1" l="1"/>
  <c r="AB100" i="1"/>
  <c r="X100" i="1" l="1"/>
  <c r="Q100" i="1"/>
  <c r="S100" i="1" l="1"/>
  <c r="Z100" i="1"/>
  <c r="V100" i="1" l="1"/>
  <c r="W100" i="1" s="1"/>
  <c r="Y100" i="1" s="1"/>
  <c r="P101" i="1" s="1"/>
  <c r="AA101" i="1" l="1"/>
  <c r="AB101" i="1"/>
  <c r="X101" i="1" l="1"/>
  <c r="Q101" i="1"/>
  <c r="Z101" i="1" l="1"/>
  <c r="S101" i="1"/>
  <c r="V101" i="1" l="1"/>
  <c r="W101" i="1" s="1"/>
  <c r="Y101" i="1" s="1"/>
  <c r="P102" i="1" s="1"/>
  <c r="AA102" i="1" l="1"/>
  <c r="AB102" i="1"/>
  <c r="X102" i="1" l="1"/>
  <c r="Q102" i="1"/>
  <c r="Z102" i="1" l="1"/>
  <c r="S102" i="1"/>
  <c r="V102" i="1" l="1"/>
  <c r="W102" i="1" s="1"/>
  <c r="Y102" i="1" s="1"/>
  <c r="P103" i="1" s="1"/>
  <c r="AA103" i="1" l="1"/>
  <c r="AB103" i="1"/>
  <c r="X103" i="1" l="1"/>
  <c r="Q103" i="1"/>
  <c r="Z103" i="1" l="1"/>
  <c r="S103" i="1"/>
  <c r="V103" i="1" l="1"/>
  <c r="W103" i="1" s="1"/>
  <c r="Y103" i="1" s="1"/>
  <c r="P104" i="1" s="1"/>
  <c r="AA104" i="1" l="1"/>
  <c r="AB104" i="1"/>
  <c r="X104" i="1" l="1"/>
  <c r="Q104" i="1"/>
  <c r="Z104" i="1" l="1"/>
  <c r="S104" i="1"/>
  <c r="V104" i="1" l="1"/>
  <c r="W104" i="1" s="1"/>
  <c r="Y104" i="1" s="1"/>
  <c r="P105" i="1" s="1"/>
  <c r="AA105" i="1" l="1"/>
  <c r="AB105" i="1"/>
  <c r="X105" i="1" l="1"/>
  <c r="Q105" i="1"/>
  <c r="S105" i="1" l="1"/>
  <c r="V105" i="1" s="1"/>
  <c r="W105" i="1" s="1"/>
  <c r="Y105" i="1" s="1"/>
  <c r="P106" i="1" s="1"/>
  <c r="Z105" i="1"/>
  <c r="AA106" i="1" l="1"/>
  <c r="AB106" i="1"/>
  <c r="Q106" i="1" l="1"/>
  <c r="X106" i="1"/>
  <c r="Z106" i="1" l="1"/>
  <c r="S106" i="1"/>
  <c r="V106" i="1" s="1"/>
  <c r="W106" i="1" s="1"/>
  <c r="Y106" i="1" s="1"/>
  <c r="P107" i="1" s="1"/>
  <c r="AA107" i="1" l="1"/>
  <c r="AB107" i="1"/>
  <c r="Q107" i="1" l="1"/>
  <c r="X107" i="1"/>
  <c r="S107" i="1" l="1"/>
  <c r="Z107" i="1"/>
  <c r="V107" i="1" l="1"/>
  <c r="W107" i="1" s="1"/>
  <c r="Y107" i="1" s="1"/>
  <c r="P108" i="1" s="1"/>
  <c r="AA108" i="1" l="1"/>
  <c r="AB108" i="1"/>
  <c r="X108" i="1" l="1"/>
  <c r="Q108" i="1"/>
  <c r="Z108" i="1" l="1"/>
  <c r="S108" i="1"/>
  <c r="V108" i="1" l="1"/>
  <c r="W108" i="1" s="1"/>
  <c r="Y108" i="1" s="1"/>
  <c r="P109" i="1" s="1"/>
  <c r="AA109" i="1" l="1"/>
  <c r="AB109" i="1"/>
  <c r="X109" i="1" l="1"/>
  <c r="Q109" i="1"/>
  <c r="S109" i="1" l="1"/>
  <c r="Z109" i="1"/>
  <c r="V109" i="1" l="1"/>
  <c r="W109" i="1" s="1"/>
  <c r="Y109" i="1" s="1"/>
  <c r="P110" i="1" s="1"/>
  <c r="AA110" i="1" l="1"/>
  <c r="AB110" i="1"/>
  <c r="Q110" i="1" l="1"/>
  <c r="X110" i="1"/>
  <c r="Z110" i="1" l="1"/>
  <c r="S110" i="1"/>
  <c r="V110" i="1" l="1"/>
  <c r="W110" i="1" s="1"/>
  <c r="Y110" i="1" s="1"/>
  <c r="P111" i="1" s="1"/>
  <c r="AA111" i="1" l="1"/>
  <c r="AB111" i="1"/>
  <c r="X111" i="1" l="1"/>
  <c r="Q111" i="1"/>
  <c r="S111" i="1" l="1"/>
  <c r="V111" i="1" s="1"/>
  <c r="W111" i="1" s="1"/>
  <c r="Y111" i="1" s="1"/>
  <c r="P112" i="1" s="1"/>
  <c r="Z111" i="1"/>
  <c r="AA112" i="1" l="1"/>
  <c r="AB112" i="1"/>
  <c r="X112" i="1" l="1"/>
  <c r="Q112" i="1"/>
  <c r="S112" i="1" l="1"/>
  <c r="V112" i="1" s="1"/>
  <c r="W112" i="1" s="1"/>
  <c r="Y112" i="1" s="1"/>
  <c r="P113" i="1" s="1"/>
  <c r="Z112" i="1"/>
  <c r="AA113" i="1" l="1"/>
  <c r="AB113" i="1"/>
  <c r="X113" i="1" l="1"/>
  <c r="Q113" i="1"/>
  <c r="S113" i="1" l="1"/>
  <c r="V113" i="1" s="1"/>
  <c r="W113" i="1" s="1"/>
  <c r="Y113" i="1" s="1"/>
  <c r="P114" i="1" s="1"/>
  <c r="Z113" i="1"/>
  <c r="AA114" i="1" l="1"/>
  <c r="AB114" i="1"/>
  <c r="Q114" i="1" l="1"/>
  <c r="X114" i="1"/>
  <c r="Z114" i="1" l="1"/>
  <c r="S114" i="1"/>
  <c r="V114" i="1" l="1"/>
  <c r="W114" i="1" s="1"/>
  <c r="Y114" i="1" s="1"/>
  <c r="P115" i="1" s="1"/>
  <c r="AA115" i="1" l="1"/>
  <c r="AB115" i="1"/>
  <c r="Q115" i="1" l="1"/>
  <c r="X115" i="1"/>
  <c r="Z115" i="1" l="1"/>
  <c r="S115" i="1"/>
  <c r="V115" i="1" s="1"/>
  <c r="W115" i="1" s="1"/>
  <c r="Y115" i="1" s="1"/>
  <c r="P116" i="1" s="1"/>
  <c r="AA116" i="1" l="1"/>
  <c r="AB116" i="1"/>
  <c r="Q116" i="1" l="1"/>
  <c r="X116" i="1"/>
  <c r="Z116" i="1" l="1"/>
  <c r="S116" i="1"/>
  <c r="V116" i="1" l="1"/>
  <c r="W116" i="1" s="1"/>
  <c r="Y116" i="1" s="1"/>
  <c r="P117" i="1" s="1"/>
  <c r="AA117" i="1" l="1"/>
  <c r="AB117" i="1"/>
  <c r="Q117" i="1" l="1"/>
  <c r="X117" i="1"/>
  <c r="Z117" i="1" l="1"/>
  <c r="S117" i="1"/>
  <c r="V117" i="1" s="1"/>
  <c r="W117" i="1" s="1"/>
  <c r="Y117" i="1" s="1"/>
  <c r="P118" i="1" s="1"/>
  <c r="AA118" i="1" l="1"/>
  <c r="AB118" i="1"/>
  <c r="Q118" i="1" l="1"/>
  <c r="X118" i="1"/>
  <c r="S118" i="1" l="1"/>
  <c r="Z118" i="1"/>
  <c r="V118" i="1" l="1"/>
  <c r="W118" i="1" s="1"/>
  <c r="Y118" i="1" s="1"/>
  <c r="P119" i="1" s="1"/>
  <c r="AA119" i="1" l="1"/>
  <c r="AB119" i="1"/>
  <c r="Q119" i="1" l="1"/>
  <c r="X119" i="1"/>
  <c r="Z119" i="1" l="1"/>
  <c r="S119" i="1"/>
  <c r="V119" i="1" s="1"/>
  <c r="W119" i="1" s="1"/>
  <c r="Y119" i="1" s="1"/>
  <c r="P120" i="1" s="1"/>
  <c r="AA120" i="1" l="1"/>
  <c r="AB120" i="1"/>
  <c r="Q120" i="1" l="1"/>
  <c r="X120" i="1"/>
  <c r="S120" i="1" l="1"/>
  <c r="Z120" i="1"/>
  <c r="V120" i="1" l="1"/>
  <c r="W120" i="1" s="1"/>
  <c r="Y120" i="1" s="1"/>
  <c r="P121" i="1" s="1"/>
  <c r="AA121" i="1" l="1"/>
  <c r="AB121" i="1"/>
  <c r="X121" i="1" l="1"/>
  <c r="Q121" i="1"/>
  <c r="S121" i="1" l="1"/>
  <c r="Z121" i="1"/>
  <c r="V121" i="1" l="1"/>
  <c r="W121" i="1" s="1"/>
  <c r="Y121" i="1" s="1"/>
  <c r="P122" i="1" s="1"/>
  <c r="AA122" i="1" l="1"/>
  <c r="AB122" i="1"/>
  <c r="Q122" i="1" l="1"/>
  <c r="X122" i="1"/>
  <c r="Z122" i="1" l="1"/>
  <c r="S122" i="1"/>
  <c r="V122" i="1" s="1"/>
  <c r="W122" i="1" s="1"/>
  <c r="Y122" i="1" s="1"/>
  <c r="P123" i="1" s="1"/>
  <c r="AA123" i="1" l="1"/>
  <c r="AB123" i="1"/>
  <c r="Q123" i="1" l="1"/>
  <c r="X123" i="1"/>
  <c r="S123" i="1" l="1"/>
  <c r="V123" i="1" s="1"/>
  <c r="W123" i="1" s="1"/>
  <c r="Y123" i="1" s="1"/>
  <c r="P124" i="1" s="1"/>
  <c r="Z123" i="1"/>
  <c r="AA124" i="1" l="1"/>
  <c r="AB124" i="1"/>
  <c r="Q124" i="1" l="1"/>
  <c r="X124" i="1"/>
  <c r="Z124" i="1" l="1"/>
  <c r="S124" i="1"/>
  <c r="V124" i="1" s="1"/>
  <c r="W124" i="1" s="1"/>
  <c r="Y124" i="1" s="1"/>
  <c r="P125" i="1" s="1"/>
  <c r="AA125" i="1" l="1"/>
  <c r="AB125" i="1"/>
  <c r="Q125" i="1" l="1"/>
  <c r="X125" i="1"/>
  <c r="S125" i="1" l="1"/>
  <c r="Z125" i="1"/>
  <c r="V125" i="1" l="1"/>
  <c r="W125" i="1" s="1"/>
  <c r="Y125" i="1" s="1"/>
  <c r="P126" i="1" s="1"/>
  <c r="AA126" i="1" l="1"/>
  <c r="AB126" i="1"/>
  <c r="Q126" i="1" l="1"/>
  <c r="X126" i="1"/>
  <c r="Z126" i="1" l="1"/>
  <c r="S126" i="1"/>
  <c r="V126" i="1" s="1"/>
  <c r="W126" i="1" s="1"/>
  <c r="Y126" i="1" s="1"/>
  <c r="P127" i="1" s="1"/>
  <c r="AA127" i="1" l="1"/>
  <c r="AB127" i="1"/>
  <c r="Q127" i="1" l="1"/>
  <c r="X127" i="1"/>
  <c r="S127" i="1" l="1"/>
  <c r="Z127" i="1"/>
  <c r="V127" i="1" l="1"/>
  <c r="W127" i="1" s="1"/>
  <c r="Y127" i="1" s="1"/>
  <c r="P128" i="1" s="1"/>
  <c r="AA128" i="1" l="1"/>
  <c r="AB128" i="1"/>
  <c r="Q128" i="1" l="1"/>
  <c r="X128" i="1"/>
  <c r="Z128" i="1" l="1"/>
  <c r="S128" i="1"/>
  <c r="V128" i="1" s="1"/>
  <c r="W128" i="1" s="1"/>
  <c r="Y128" i="1" s="1"/>
  <c r="P129" i="1" s="1"/>
  <c r="AA129" i="1" l="1"/>
  <c r="AB129" i="1"/>
  <c r="Q129" i="1" l="1"/>
  <c r="X129" i="1"/>
  <c r="Z129" i="1" l="1"/>
  <c r="S129" i="1"/>
  <c r="V129" i="1" s="1"/>
  <c r="W129" i="1" s="1"/>
  <c r="Y129" i="1" s="1"/>
  <c r="P130" i="1" s="1"/>
  <c r="AA130" i="1" l="1"/>
  <c r="AB130" i="1"/>
  <c r="Q130" i="1" l="1"/>
  <c r="X130" i="1"/>
  <c r="S130" i="1" l="1"/>
  <c r="V130" i="1" s="1"/>
  <c r="W130" i="1" s="1"/>
  <c r="Y130" i="1" s="1"/>
  <c r="P131" i="1" s="1"/>
  <c r="Z130" i="1"/>
  <c r="AA131" i="1" l="1"/>
  <c r="AB131" i="1"/>
  <c r="Q131" i="1" l="1"/>
  <c r="X131" i="1"/>
  <c r="S131" i="1" l="1"/>
  <c r="V131" i="1" s="1"/>
  <c r="W131" i="1" s="1"/>
  <c r="Y131" i="1" s="1"/>
  <c r="P132" i="1" s="1"/>
  <c r="Z131" i="1"/>
  <c r="AA132" i="1" l="1"/>
  <c r="AB132" i="1"/>
  <c r="Q132" i="1" l="1"/>
  <c r="X132" i="1"/>
  <c r="S132" i="1" l="1"/>
  <c r="V132" i="1" s="1"/>
  <c r="W132" i="1" s="1"/>
  <c r="Y132" i="1" s="1"/>
  <c r="P133" i="1" s="1"/>
  <c r="Z132" i="1"/>
  <c r="AA133" i="1" l="1"/>
  <c r="AB133" i="1"/>
  <c r="Q133" i="1" l="1"/>
  <c r="X133" i="1"/>
  <c r="S133" i="1" l="1"/>
  <c r="V133" i="1" s="1"/>
  <c r="W133" i="1" s="1"/>
  <c r="Y133" i="1" s="1"/>
  <c r="P134" i="1" s="1"/>
  <c r="Z133" i="1"/>
  <c r="AA134" i="1" l="1"/>
  <c r="AB134" i="1"/>
  <c r="Q134" i="1" l="1"/>
  <c r="X134" i="1"/>
  <c r="S134" i="1" l="1"/>
  <c r="V134" i="1" s="1"/>
  <c r="W134" i="1" s="1"/>
  <c r="Y134" i="1" s="1"/>
  <c r="Z134" i="1"/>
  <c r="B39" i="1"/>
  <c r="B40" i="1"/>
  <c r="K2" i="3"/>
  <c r="K4" i="3" l="1"/>
  <c r="K5" i="3"/>
</calcChain>
</file>

<file path=xl/sharedStrings.xml><?xml version="1.0" encoding="utf-8"?>
<sst xmlns="http://schemas.openxmlformats.org/spreadsheetml/2006/main" count="368" uniqueCount="240">
  <si>
    <t>T</t>
  </si>
  <si>
    <t>KIAS</t>
  </si>
  <si>
    <t>CD0</t>
  </si>
  <si>
    <t>Wt</t>
  </si>
  <si>
    <t>MACH</t>
  </si>
  <si>
    <t>q (psf)</t>
  </si>
  <si>
    <t>CL</t>
  </si>
  <si>
    <t>Sref</t>
  </si>
  <si>
    <t>sq.ft.</t>
  </si>
  <si>
    <t>lbf</t>
  </si>
  <si>
    <t>CD</t>
  </si>
  <si>
    <t>Drag (lbf)</t>
  </si>
  <si>
    <t>AR * e</t>
  </si>
  <si>
    <t>Ps</t>
  </si>
  <si>
    <t>neng</t>
  </si>
  <si>
    <t>CONFIGURATION VARIABLES</t>
  </si>
  <si>
    <t>Clmax</t>
  </si>
  <si>
    <t>Stall Speed Ratio</t>
  </si>
  <si>
    <t>L/D</t>
  </si>
  <si>
    <t>M(L/D)</t>
  </si>
  <si>
    <t>RUNWAY PERFORMANCE</t>
  </si>
  <si>
    <t>Drag</t>
  </si>
  <si>
    <t>Stall Speed</t>
  </si>
  <si>
    <t>Stall Speed "q"</t>
  </si>
  <si>
    <t>psf</t>
  </si>
  <si>
    <t>stall speed mach</t>
  </si>
  <si>
    <t>t (sec)</t>
  </si>
  <si>
    <t>v (ft/s)</t>
  </si>
  <si>
    <t>dist (ft)</t>
  </si>
  <si>
    <t>CL @ a=0</t>
  </si>
  <si>
    <t>Lift</t>
  </si>
  <si>
    <t>Stall Speed Margin (kias)</t>
  </si>
  <si>
    <t>Thrust-estimate (lbf)</t>
  </si>
  <si>
    <t>stall speed KIAS</t>
  </si>
  <si>
    <t>kias</t>
  </si>
  <si>
    <t>ROC (ft/min)</t>
  </si>
  <si>
    <t>ROC @ Clmax (ft/min)</t>
  </si>
  <si>
    <t>Max. Instant G's</t>
  </si>
  <si>
    <t>rolling resistance</t>
  </si>
  <si>
    <t>a</t>
  </si>
  <si>
    <t>b</t>
  </si>
  <si>
    <t>c</t>
  </si>
  <si>
    <t>Battery Weight</t>
  </si>
  <si>
    <t>Air Speed</t>
  </si>
  <si>
    <t>Thrust</t>
  </si>
  <si>
    <t>x^2</t>
  </si>
  <si>
    <t>x</t>
  </si>
  <si>
    <t>Graupner 5.5x4.3</t>
  </si>
  <si>
    <t>HeadWind</t>
  </si>
  <si>
    <t>kts</t>
  </si>
  <si>
    <t xml:space="preserve">lbm  </t>
  </si>
  <si>
    <t>AIR DEVILS TAKEOFF / LEVEL AND PERFORMANCE CODE</t>
  </si>
  <si>
    <t>Aircraft Weight</t>
  </si>
  <si>
    <t>lbm</t>
  </si>
  <si>
    <t>Mission 1 Weight</t>
  </si>
  <si>
    <t>Misssion 2 Weight</t>
  </si>
  <si>
    <t>Mission 3 Weight</t>
  </si>
  <si>
    <t># Pax</t>
  </si>
  <si>
    <t>oz</t>
  </si>
  <si>
    <t>Wt per pax</t>
  </si>
  <si>
    <t># Blox</t>
  </si>
  <si>
    <t>Wt per blox</t>
  </si>
  <si>
    <t>Mission 2 Top Speed</t>
  </si>
  <si>
    <t>Est Lap Time</t>
  </si>
  <si>
    <t>sec</t>
  </si>
  <si>
    <t>Mission 2 (3 lap time)</t>
  </si>
  <si>
    <t>Mission 3 Top Speed</t>
  </si>
  <si>
    <t>Mission 3 (10 min laps)</t>
  </si>
  <si>
    <t>laps</t>
  </si>
  <si>
    <t>Wingspan</t>
  </si>
  <si>
    <t>ft</t>
  </si>
  <si>
    <t>AR = span ^ 2 / Sref  ==&gt; span = sqrt( AR * Sref)</t>
  </si>
  <si>
    <t>in</t>
  </si>
  <si>
    <t>benchmark</t>
  </si>
  <si>
    <t>Mission 1 projected score</t>
  </si>
  <si>
    <t>Mission 2 projected score</t>
  </si>
  <si>
    <t>Mission 3 projected score</t>
  </si>
  <si>
    <t>RAC</t>
  </si>
  <si>
    <t>Overall Score</t>
  </si>
  <si>
    <t>Est Report Score</t>
  </si>
  <si>
    <t>pax</t>
  </si>
  <si>
    <t>Stall Speed - Mission 1</t>
  </si>
  <si>
    <t>Top Speed - Mission 1</t>
  </si>
  <si>
    <t>T/O dist - Mission 1</t>
  </si>
  <si>
    <t>Stall Speed - Mission 2</t>
  </si>
  <si>
    <t>Top Speed - Mission 2</t>
  </si>
  <si>
    <t>T/O dist - Mission 2</t>
  </si>
  <si>
    <t>T/O dist - Mission 3</t>
  </si>
  <si>
    <t>Stall Speed - Mission 3</t>
  </si>
  <si>
    <t>Top Speed - Mission 3</t>
  </si>
  <si>
    <t>1-g</t>
  </si>
  <si>
    <t xml:space="preserve"> @ CLmax</t>
  </si>
  <si>
    <t>Empty Weight (minus bat)</t>
  </si>
  <si>
    <t>Spi</t>
  </si>
  <si>
    <t>AR</t>
  </si>
  <si>
    <t>ZERO LIFT DRAG BUILDUP</t>
  </si>
  <si>
    <t>Design Conditions - nominally sea level</t>
  </si>
  <si>
    <t>Des_KIAS</t>
  </si>
  <si>
    <t>Des_Mach</t>
  </si>
  <si>
    <t>Re/ft</t>
  </si>
  <si>
    <t>q</t>
  </si>
  <si>
    <t>lbf/ft^2</t>
  </si>
  <si>
    <t>AIRCRAFT GEOMETRY</t>
  </si>
  <si>
    <t>ft^2</t>
  </si>
  <si>
    <t>Wspan</t>
  </si>
  <si>
    <t xml:space="preserve">ft </t>
  </si>
  <si>
    <t>Chord</t>
  </si>
  <si>
    <t>WING</t>
  </si>
  <si>
    <t>FUSE</t>
  </si>
  <si>
    <t>Swet</t>
  </si>
  <si>
    <t>FF</t>
  </si>
  <si>
    <t>Cf</t>
  </si>
  <si>
    <t>HT</t>
  </si>
  <si>
    <t>VT</t>
  </si>
  <si>
    <t>Re</t>
  </si>
  <si>
    <t>t/c</t>
  </si>
  <si>
    <t>OVERALL ZERO-LIFT DRAG ESTIMATE</t>
  </si>
  <si>
    <t>FUSE BASE</t>
  </si>
  <si>
    <t>LANDING GEAR</t>
  </si>
  <si>
    <t>HORZ TAIL</t>
  </si>
  <si>
    <t>Splanform</t>
  </si>
  <si>
    <t>VERT TAIL</t>
  </si>
  <si>
    <t>FUSELAGE</t>
  </si>
  <si>
    <t>Length</t>
  </si>
  <si>
    <t>Width</t>
  </si>
  <si>
    <t>Height</t>
  </si>
  <si>
    <t>Base Area</t>
  </si>
  <si>
    <t>Tire Di</t>
  </si>
  <si>
    <t>Tire Wi</t>
  </si>
  <si>
    <t>BaseArea</t>
  </si>
  <si>
    <t>d/l</t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</si>
  <si>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CD0</t>
    </r>
  </si>
  <si>
    <t>sync</t>
  </si>
  <si>
    <t>penalty function  (=1 if OK, 0.1 if bat cap, t/o dist or maneuver margin is poor)</t>
  </si>
  <si>
    <t>Spec Ex Thrust</t>
  </si>
  <si>
    <t>Spec Ex Thrust @ CLmax</t>
  </si>
  <si>
    <t>Passengers/row</t>
  </si>
  <si>
    <t>Rows of Passengers</t>
  </si>
  <si>
    <t>Total passengers</t>
  </si>
  <si>
    <t>Cargo/row</t>
  </si>
  <si>
    <t>Cargo Rows</t>
  </si>
  <si>
    <t>Weight (oz)</t>
  </si>
  <si>
    <t>Passenger Weight (lb)</t>
  </si>
  <si>
    <t>Passenger Dimensions</t>
  </si>
  <si>
    <t>Cargo Weight (lb)</t>
  </si>
  <si>
    <t>Cargo Dimensions</t>
  </si>
  <si>
    <t>50% Pax Weight (M3)</t>
  </si>
  <si>
    <t>100% Pax Weight (M3)</t>
  </si>
  <si>
    <t>Min Width (in)</t>
  </si>
  <si>
    <t>Min Length (in)</t>
  </si>
  <si>
    <t>Min Height (in)</t>
  </si>
  <si>
    <t>Total Cargo</t>
  </si>
  <si>
    <t>Crud Width (in)</t>
  </si>
  <si>
    <t>Crud Height (in)</t>
  </si>
  <si>
    <t>Total Width (in)</t>
  </si>
  <si>
    <t>Total Length (in)</t>
  </si>
  <si>
    <t>Total height (in)</t>
  </si>
  <si>
    <t>full payload</t>
  </si>
  <si>
    <t>CDA</t>
  </si>
  <si>
    <t>REDONE FOR SQUARE FUSELAGE</t>
  </si>
  <si>
    <t>Crud Length [Nose] (in)</t>
  </si>
  <si>
    <t>Crud Length [Tail] (in)</t>
  </si>
  <si>
    <t>SWET Calculations for rectangular plane</t>
  </si>
  <si>
    <t>Tail Swet (in^2)</t>
  </si>
  <si>
    <t>Nose Swet</t>
  </si>
  <si>
    <t>Total Fuse Swet</t>
  </si>
  <si>
    <t>Mid Swet</t>
  </si>
  <si>
    <t>Tail End Width (in)</t>
  </si>
  <si>
    <t>Tail End Height (in)</t>
  </si>
  <si>
    <t>LG Width (in)</t>
  </si>
  <si>
    <t>LG Height (in)</t>
  </si>
  <si>
    <t>Servo Width (in)</t>
  </si>
  <si>
    <t>Servo Height (in)</t>
  </si>
  <si>
    <t>Trunion Width (in)</t>
  </si>
  <si>
    <t>Trunion Height (in)</t>
  </si>
  <si>
    <t>Tail Area (in^2)</t>
  </si>
  <si>
    <t>LG Area (in^2)</t>
  </si>
  <si>
    <t>Servo Area (in^2)</t>
  </si>
  <si>
    <t>Trunion Area (in^2)</t>
  </si>
  <si>
    <t>Total Area (in^2)</t>
  </si>
  <si>
    <t>Surface</t>
  </si>
  <si>
    <t>in^2</t>
  </si>
  <si>
    <t>Aft-Facing Area</t>
  </si>
  <si>
    <t>ORIGINAL</t>
  </si>
  <si>
    <t>Turning Stall Speed Margin</t>
  </si>
  <si>
    <t>Aircraft Empty Weight</t>
  </si>
  <si>
    <t>HORIZ TAIL</t>
  </si>
  <si>
    <t>MATERIAL DENSITY</t>
  </si>
  <si>
    <t>Balsa</t>
  </si>
  <si>
    <t>lb/in^3</t>
  </si>
  <si>
    <t>Sairfoil/c</t>
  </si>
  <si>
    <t>Span</t>
  </si>
  <si>
    <t>lb</t>
  </si>
  <si>
    <t>Fuselage</t>
  </si>
  <si>
    <t>Horiz Tail</t>
  </si>
  <si>
    <t>Vert Tail</t>
  </si>
  <si>
    <t>TOTAL EMPTY WEIGHT</t>
  </si>
  <si>
    <t>ma/hr-per bat pax</t>
  </si>
  <si>
    <t>ma</t>
  </si>
  <si>
    <t>num packs</t>
  </si>
  <si>
    <t>test endurance @ full pwr</t>
  </si>
  <si>
    <t>Predicted Endurance</t>
  </si>
  <si>
    <t>min</t>
  </si>
  <si>
    <t>oz payload</t>
  </si>
  <si>
    <t>250W Sept 2015 data</t>
  </si>
  <si>
    <t>5% crud?</t>
  </si>
  <si>
    <t>gradient (%)</t>
  </si>
  <si>
    <t>climbout flight path angle (deg)</t>
  </si>
  <si>
    <t>horizon elevation angle (deg)</t>
  </si>
  <si>
    <t>alpha</t>
  </si>
  <si>
    <t>BALSA WALL THICKNESS</t>
  </si>
  <si>
    <t>Blue XPS</t>
  </si>
  <si>
    <t>Balsa Wing</t>
  </si>
  <si>
    <t>White Foam</t>
  </si>
  <si>
    <t># of Motors</t>
  </si>
  <si>
    <t>COMPONENTS</t>
  </si>
  <si>
    <t>Column1</t>
  </si>
  <si>
    <t>Column2</t>
  </si>
  <si>
    <t>motors</t>
  </si>
  <si>
    <t>Foam Wing</t>
  </si>
  <si>
    <t>wiring</t>
  </si>
  <si>
    <t>LG</t>
  </si>
  <si>
    <t>Servos</t>
  </si>
  <si>
    <t>Nose</t>
  </si>
  <si>
    <t>ESC</t>
  </si>
  <si>
    <t>Tail</t>
  </si>
  <si>
    <t>Reciever</t>
  </si>
  <si>
    <t>Reciever Battery</t>
  </si>
  <si>
    <t>E Comp</t>
  </si>
  <si>
    <t>FOAM</t>
  </si>
  <si>
    <t>VOLUME (FT^3)</t>
  </si>
  <si>
    <t>VOLUME (IN^3)</t>
  </si>
  <si>
    <t>WEIGHT (LB)</t>
  </si>
  <si>
    <t>BALSA WING CONFIG</t>
  </si>
  <si>
    <t>FOAM WING CONFIG</t>
  </si>
  <si>
    <t>WEIGHT (OZ)</t>
  </si>
  <si>
    <t>COMPONENT</t>
  </si>
  <si>
    <t>TOTAL</t>
  </si>
  <si>
    <t>version 2.2 - w/ macros for trade studies, named cells, zero-lift-drag calculator, parametric weight and aircraft dimension calculator</t>
  </si>
  <si>
    <t>&lt;== FROM WALTER'S WEIGHT SPREADSHEET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</si>
</sst>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"/>
    <numFmt numFmtId="166" formatCode="0.0"/>
  </numFmts>
  <fonts count="1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9" fontId="3" fillId="0" borderId="0" applyFont="0" applyFill="0" applyBorder="0" applyAlignment="0" applyProtection="0"/>
    <xf numFmtId="0" fontId="4" fillId="3" borderId="0" applyNumberFormat="0" applyBorder="0" applyAlignment="0" applyProtection="0"/>
    <xf numFmtId="0" fontId="5" fillId="5" borderId="11" applyNumberFormat="0" applyAlignment="0" applyProtection="0"/>
  </cellStyleXfs>
  <cellXfs count="10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1" xfId="1"/>
    <xf numFmtId="0" fontId="4" fillId="3" borderId="0" xfId="3"/>
    <xf numFmtId="0" fontId="0" fillId="4" borderId="2" xfId="0" applyFill="1" applyBorder="1" applyAlignment="1">
      <alignment wrapText="1"/>
    </xf>
    <xf numFmtId="0" fontId="0" fillId="0" borderId="2" xfId="0" applyBorder="1"/>
    <xf numFmtId="164" fontId="0" fillId="0" borderId="2" xfId="0" applyNumberFormat="1" applyBorder="1"/>
    <xf numFmtId="2" fontId="0" fillId="0" borderId="2" xfId="0" applyNumberFormat="1" applyBorder="1"/>
    <xf numFmtId="165" fontId="0" fillId="0" borderId="2" xfId="0" applyNumberFormat="1" applyBorder="1"/>
    <xf numFmtId="9" fontId="0" fillId="0" borderId="2" xfId="2" applyNumberFormat="1" applyFont="1" applyBorder="1"/>
    <xf numFmtId="166" fontId="0" fillId="0" borderId="2" xfId="0" applyNumberFormat="1" applyBorder="1"/>
    <xf numFmtId="0" fontId="0" fillId="0" borderId="6" xfId="0" applyBorder="1"/>
    <xf numFmtId="166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2" fontId="0" fillId="0" borderId="9" xfId="0" applyNumberFormat="1" applyBorder="1"/>
    <xf numFmtId="165" fontId="0" fillId="0" borderId="9" xfId="0" applyNumberFormat="1" applyBorder="1"/>
    <xf numFmtId="9" fontId="0" fillId="0" borderId="9" xfId="2" applyNumberFormat="1" applyFont="1" applyBorder="1"/>
    <xf numFmtId="166" fontId="0" fillId="0" borderId="10" xfId="0" applyNumberFormat="1" applyBorder="1"/>
    <xf numFmtId="166" fontId="0" fillId="0" borderId="9" xfId="0" applyNumberFormat="1" applyBorder="1"/>
    <xf numFmtId="0" fontId="0" fillId="4" borderId="2" xfId="0" applyFill="1" applyBorder="1"/>
    <xf numFmtId="165" fontId="0" fillId="0" borderId="2" xfId="0" applyNumberFormat="1" applyBorder="1" applyAlignment="1">
      <alignment horizontal="center"/>
    </xf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0" borderId="9" xfId="0" applyBorder="1"/>
    <xf numFmtId="165" fontId="0" fillId="0" borderId="9" xfId="0" applyNumberFormat="1" applyBorder="1" applyAlignment="1">
      <alignment horizontal="center"/>
    </xf>
    <xf numFmtId="0" fontId="5" fillId="5" borderId="11" xfId="4"/>
    <xf numFmtId="11" fontId="5" fillId="5" borderId="11" xfId="4" applyNumberFormat="1"/>
    <xf numFmtId="0" fontId="6" fillId="0" borderId="0" xfId="0" applyFont="1" applyAlignment="1">
      <alignment horizontal="center"/>
    </xf>
    <xf numFmtId="0" fontId="1" fillId="2" borderId="13" xfId="1" applyBorder="1"/>
    <xf numFmtId="0" fontId="7" fillId="0" borderId="0" xfId="0" applyFont="1" applyAlignment="1">
      <alignment horizontal="left"/>
    </xf>
    <xf numFmtId="0" fontId="4" fillId="3" borderId="0" xfId="3" applyBorder="1"/>
    <xf numFmtId="0" fontId="8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0" fillId="7" borderId="0" xfId="0" applyFill="1"/>
    <xf numFmtId="0" fontId="0" fillId="0" borderId="0" xfId="0"/>
    <xf numFmtId="0" fontId="0" fillId="8" borderId="0" xfId="0" applyFill="1"/>
    <xf numFmtId="0" fontId="9" fillId="0" borderId="0" xfId="0" applyFont="1"/>
    <xf numFmtId="0" fontId="0" fillId="9" borderId="0" xfId="0" applyFill="1"/>
    <xf numFmtId="0" fontId="0" fillId="10" borderId="0" xfId="0" applyFill="1"/>
    <xf numFmtId="2" fontId="0" fillId="7" borderId="0" xfId="0" applyNumberFormat="1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2" fillId="10" borderId="0" xfId="0" applyFont="1" applyFill="1"/>
    <xf numFmtId="0" fontId="0" fillId="10" borderId="0" xfId="0" applyNumberFormat="1" applyFill="1" applyAlignment="1">
      <alignment horizontal="center"/>
    </xf>
    <xf numFmtId="164" fontId="1" fillId="11" borderId="1" xfId="1" applyNumberFormat="1" applyFill="1"/>
    <xf numFmtId="2" fontId="1" fillId="11" borderId="1" xfId="1" applyNumberFormat="1" applyFill="1"/>
    <xf numFmtId="0" fontId="1" fillId="9" borderId="1" xfId="1" applyFill="1"/>
    <xf numFmtId="9" fontId="0" fillId="9" borderId="0" xfId="0" applyNumberFormat="1" applyFill="1"/>
    <xf numFmtId="9" fontId="0" fillId="9" borderId="14" xfId="0" applyNumberFormat="1" applyFill="1" applyBorder="1"/>
    <xf numFmtId="0" fontId="0" fillId="12" borderId="15" xfId="0" applyFill="1" applyBorder="1"/>
    <xf numFmtId="0" fontId="0" fillId="12" borderId="16" xfId="0" applyFill="1" applyBorder="1"/>
    <xf numFmtId="0" fontId="0" fillId="9" borderId="16" xfId="0" applyFill="1" applyBorder="1"/>
    <xf numFmtId="0" fontId="0" fillId="6" borderId="17" xfId="0" applyFill="1" applyBorder="1"/>
    <xf numFmtId="0" fontId="0" fillId="12" borderId="17" xfId="0" applyFill="1" applyBorder="1"/>
    <xf numFmtId="0" fontId="0" fillId="6" borderId="18" xfId="0" applyFill="1" applyBorder="1"/>
    <xf numFmtId="0" fontId="0" fillId="6" borderId="14" xfId="0" applyFill="1" applyBorder="1"/>
    <xf numFmtId="0" fontId="0" fillId="9" borderId="14" xfId="0" applyFill="1" applyBorder="1"/>
    <xf numFmtId="0" fontId="0" fillId="12" borderId="19" xfId="0" applyFill="1" applyBorder="1"/>
    <xf numFmtId="0" fontId="0" fillId="9" borderId="0" xfId="0" applyFill="1" applyBorder="1"/>
    <xf numFmtId="0" fontId="0" fillId="9" borderId="20" xfId="0" applyFill="1" applyBorder="1"/>
    <xf numFmtId="0" fontId="0" fillId="6" borderId="0" xfId="0" applyFill="1" applyBorder="1"/>
    <xf numFmtId="0" fontId="0" fillId="6" borderId="20" xfId="0" applyFill="1" applyBorder="1"/>
    <xf numFmtId="0" fontId="0" fillId="12" borderId="18" xfId="0" applyFill="1" applyBorder="1"/>
    <xf numFmtId="0" fontId="0" fillId="6" borderId="21" xfId="0" applyFill="1" applyBorder="1"/>
    <xf numFmtId="0" fontId="0" fillId="9" borderId="21" xfId="0" applyFill="1" applyBorder="1"/>
    <xf numFmtId="0" fontId="0" fillId="0" borderId="0" xfId="0" applyBorder="1"/>
    <xf numFmtId="0" fontId="0" fillId="9" borderId="17" xfId="0" applyFill="1" applyBorder="1"/>
    <xf numFmtId="0" fontId="0" fillId="0" borderId="0" xfId="0" applyFill="1"/>
    <xf numFmtId="0" fontId="0" fillId="0" borderId="0" xfId="0" applyAlignment="1"/>
    <xf numFmtId="0" fontId="11" fillId="0" borderId="0" xfId="0" applyFont="1" applyAlignment="1">
      <alignment horizontal="center"/>
    </xf>
    <xf numFmtId="0" fontId="0" fillId="9" borderId="22" xfId="0" applyFill="1" applyBorder="1"/>
    <xf numFmtId="0" fontId="12" fillId="14" borderId="19" xfId="0" applyFont="1" applyFill="1" applyBorder="1"/>
    <xf numFmtId="0" fontId="12" fillId="14" borderId="0" xfId="0" applyFont="1" applyFill="1" applyBorder="1"/>
    <xf numFmtId="0" fontId="0" fillId="12" borderId="20" xfId="0" applyFill="1" applyBorder="1"/>
    <xf numFmtId="0" fontId="0" fillId="15" borderId="0" xfId="0" applyFill="1" applyAlignment="1">
      <alignment horizontal="center"/>
    </xf>
    <xf numFmtId="0" fontId="8" fillId="15" borderId="0" xfId="0" applyFont="1" applyFill="1" applyAlignment="1">
      <alignment horizontal="center"/>
    </xf>
    <xf numFmtId="0" fontId="13" fillId="0" borderId="0" xfId="0" applyFont="1"/>
    <xf numFmtId="0" fontId="6" fillId="0" borderId="0" xfId="0" applyFont="1"/>
    <xf numFmtId="0" fontId="0" fillId="4" borderId="0" xfId="0" applyFill="1" applyBorder="1"/>
    <xf numFmtId="166" fontId="0" fillId="0" borderId="0" xfId="0" applyNumberFormat="1" applyBorder="1"/>
    <xf numFmtId="9" fontId="0" fillId="0" borderId="2" xfId="2" applyFont="1" applyBorder="1"/>
    <xf numFmtId="0" fontId="2" fillId="0" borderId="0" xfId="0" applyFont="1" applyBorder="1" applyAlignment="1">
      <alignment horizontal="center"/>
    </xf>
    <xf numFmtId="0" fontId="12" fillId="0" borderId="0" xfId="0" applyFont="1"/>
    <xf numFmtId="0" fontId="14" fillId="0" borderId="0" xfId="0" applyFont="1"/>
    <xf numFmtId="164" fontId="0" fillId="0" borderId="0" xfId="0" applyNumberFormat="1"/>
    <xf numFmtId="165" fontId="0" fillId="0" borderId="0" xfId="0" applyNumberFormat="1"/>
    <xf numFmtId="166" fontId="0" fillId="0" borderId="0" xfId="0" applyNumberFormat="1" applyAlignment="1">
      <alignment horizontal="center"/>
    </xf>
    <xf numFmtId="0" fontId="2" fillId="0" borderId="12" xfId="0" applyFont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22" xfId="0" applyFill="1" applyBorder="1" applyAlignment="1">
      <alignment horizontal="center"/>
    </xf>
  </cellXfs>
  <cellStyles count="5">
    <cellStyle name="Check Cell" xfId="4" builtinId="23"/>
    <cellStyle name="Good" xfId="3" builtinId="26"/>
    <cellStyle name="Input" xfId="1" builtinId="20"/>
    <cellStyle name="Normal" xfId="0" builtinId="0"/>
    <cellStyle name="Percent" xfId="2" builtinId="5"/>
  </cellStyles>
  <dxfs count="3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164" formatCode="0.00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Thrust vs AirSpeed</a:t>
            </a:r>
          </a:p>
        </c:rich>
      </c:tx>
      <c:layout>
        <c:manualLayout>
          <c:xMode val="edge"/>
          <c:yMode val="edge"/>
          <c:x val="0.29296814843389535"/>
          <c:y val="3.207331042382588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845406824146981"/>
                  <c:y val="-0.3886676144648585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'Performance Data'!$B$6:$B$14</c:f>
              <c:numCache>
                <c:formatCode>General</c:formatCode>
                <c:ptCount val="9"/>
                <c:pt idx="0">
                  <c:v>8.4885999999999999</c:v>
                </c:pt>
                <c:pt idx="1">
                  <c:v>17.124500000000001</c:v>
                </c:pt>
                <c:pt idx="2">
                  <c:v>25.608000000000001</c:v>
                </c:pt>
                <c:pt idx="3">
                  <c:v>35.012900000000002</c:v>
                </c:pt>
                <c:pt idx="4">
                  <c:v>39.633200000000002</c:v>
                </c:pt>
                <c:pt idx="5">
                  <c:v>44.359299999999998</c:v>
                </c:pt>
                <c:pt idx="6">
                  <c:v>49.3264</c:v>
                </c:pt>
                <c:pt idx="7">
                  <c:v>54.162799999999997</c:v>
                </c:pt>
                <c:pt idx="8">
                  <c:v>59.412700000000001</c:v>
                </c:pt>
              </c:numCache>
            </c:numRef>
          </c:xVal>
          <c:yVal>
            <c:numRef>
              <c:f>'Performance Data'!$C$6:$C$14</c:f>
              <c:numCache>
                <c:formatCode>General</c:formatCode>
                <c:ptCount val="9"/>
                <c:pt idx="0">
                  <c:v>1.2971999999999999</c:v>
                </c:pt>
                <c:pt idx="1">
                  <c:v>1.2618</c:v>
                </c:pt>
                <c:pt idx="2">
                  <c:v>1.1561999999999999</c:v>
                </c:pt>
                <c:pt idx="3">
                  <c:v>0.9909</c:v>
                </c:pt>
                <c:pt idx="4">
                  <c:v>0.9647</c:v>
                </c:pt>
                <c:pt idx="5">
                  <c:v>0.87090000000000001</c:v>
                </c:pt>
                <c:pt idx="6">
                  <c:v>0.79720000000000002</c:v>
                </c:pt>
                <c:pt idx="7">
                  <c:v>0.70399999999999996</c:v>
                </c:pt>
                <c:pt idx="8">
                  <c:v>0.61890000000000001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FDF-440D-A4B4-4E6EC8B7D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43424"/>
        <c:axId val="45544960"/>
      </c:scatterChart>
      <c:valAx>
        <c:axId val="4554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4960"/>
        <c:crosses val="autoZero"/>
        <c:crossBetween val="midCat"/>
      </c:valAx>
      <c:valAx>
        <c:axId val="4554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3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'CD0 calculator'!$A$23:$A$29</c:f>
              <c:strCache>
                <c:ptCount val="7"/>
                <c:pt idx="0">
                  <c:v>WING</c:v>
                </c:pt>
                <c:pt idx="1">
                  <c:v>FUSE</c:v>
                </c:pt>
                <c:pt idx="2">
                  <c:v>HT</c:v>
                </c:pt>
                <c:pt idx="3">
                  <c:v>VT</c:v>
                </c:pt>
                <c:pt idx="4">
                  <c:v>FUSE BASE</c:v>
                </c:pt>
                <c:pt idx="5">
                  <c:v>LANDING GEAR</c:v>
                </c:pt>
                <c:pt idx="6">
                  <c:v>5% crud?</c:v>
                </c:pt>
              </c:strCache>
            </c:strRef>
          </c:cat>
          <c:val>
            <c:numRef>
              <c:f>'CD0 calculator'!$F$23:$F$29</c:f>
              <c:numCache>
                <c:formatCode>0.0000</c:formatCode>
                <c:ptCount val="7"/>
                <c:pt idx="0">
                  <c:v>5.1527118326121632E-3</c:v>
                </c:pt>
                <c:pt idx="1">
                  <c:v>6.2138517950321255E-3</c:v>
                </c:pt>
                <c:pt idx="2">
                  <c:v>1.0670457674256007E-3</c:v>
                </c:pt>
                <c:pt idx="3">
                  <c:v>3.3696182129229501E-4</c:v>
                </c:pt>
                <c:pt idx="4">
                  <c:v>7.626666666666667E-4</c:v>
                </c:pt>
                <c:pt idx="5">
                  <c:v>5.208333333333333E-3</c:v>
                </c:pt>
                <c:pt idx="6">
                  <c:v>6.7666189415144262E-4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C62-4297-8AA0-8D93EFB86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180975</xdr:colOff>
      <xdr:row>29</xdr:row>
      <xdr:rowOff>171450</xdr:rowOff>
    </xdr:from>
    <xdr:to>
      <xdr:col>12</xdr:col>
      <xdr:colOff>285750</xdr:colOff>
      <xdr:row>45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2</xdr:row>
      <xdr:rowOff>66675</xdr:rowOff>
    </xdr:from>
    <xdr:to>
      <xdr:col>8</xdr:col>
      <xdr:colOff>590550</xdr:colOff>
      <xdr:row>4</xdr:row>
      <xdr:rowOff>0</xdr:rowOff>
    </xdr:to>
    <xdr:sp macro="[0]!process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5543550" y="581025"/>
          <a:ext cx="16002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Process Trade</a:t>
          </a:r>
          <a:r>
            <a:rPr lang="en-US" sz="1100" baseline="0"/>
            <a:t>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19</xdr:row>
      <xdr:rowOff>119062</xdr:rowOff>
    </xdr:from>
    <xdr:to>
      <xdr:col>13</xdr:col>
      <xdr:colOff>361950</xdr:colOff>
      <xdr:row>34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P11:R19" totalsRowShown="0">
  <autoFilter ref="P11:R19"/>
  <tableColumns count="3">
    <tableColumn id="1" name="COMPONENTS"/>
    <tableColumn id="2" name="Column1" dataDxfId="2"/>
    <tableColumn id="3" name="Column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2:E20" totalsRowShown="0">
  <autoFilter ref="A12:E20"/>
  <tableColumns count="5">
    <tableColumn id="1" name="COMPONENT"/>
    <tableColumn id="2" name="VOLUME (FT^3)"/>
    <tableColumn id="3" name="VOLUME (IN^3)"/>
    <tableColumn id="4" name="WEIGHT (LB)"/>
    <tableColumn id="5" name="WEIGHT (OZ)">
      <calculatedColumnFormula>Table3[[#This Row],[WEIGHT (LB)]]*16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G12:I20" totalsRowShown="0">
  <autoFilter ref="G12:I20"/>
  <tableColumns count="3">
    <tableColumn id="1" name="COMPONENT" dataDxfId="1"/>
    <tableColumn id="2" name="WEIGHT (LB)"/>
    <tableColumn id="3" name="WEIGHT (OZ)" dataDxfId="0">
      <calculatedColumnFormula>Table4[[#This Row],[WEIGHT (LB)]]*16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134"/>
  <sheetViews>
    <sheetView topLeftCell="P1" zoomScaleNormal="100" workbookViewId="0">
      <selection activeCell="Z90" sqref="Z90"/>
    </sheetView>
  </sheetViews>
  <sheetFormatPr defaultRowHeight="15" x14ac:dyDescent="0.25"/>
  <cols>
    <col min="1" max="1" width="28" style="1" bestFit="1" customWidth="1"/>
    <col min="2" max="5" width="10.7109375" style="1" customWidth="1"/>
    <col min="10" max="10" width="9.5703125" bestFit="1" customWidth="1"/>
    <col min="12" max="12" width="20.5703125" customWidth="1"/>
    <col min="17" max="17" width="10.5703125" bestFit="1" customWidth="1"/>
    <col min="18" max="18" width="10.5703125" style="40" customWidth="1"/>
    <col min="21" max="21" width="9.140625" customWidth="1"/>
    <col min="23" max="23" width="9.5703125" bestFit="1" customWidth="1"/>
    <col min="24" max="24" width="10.42578125" customWidth="1"/>
    <col min="25" max="25" width="11" customWidth="1"/>
    <col min="26" max="26" width="10.5703125" bestFit="1" customWidth="1"/>
    <col min="27" max="27" width="11.5703125" bestFit="1" customWidth="1"/>
    <col min="29" max="31" width="9.140625" style="40"/>
    <col min="32" max="32" width="10.5703125" bestFit="1" customWidth="1"/>
    <col min="33" max="33" width="10.28515625" bestFit="1" customWidth="1"/>
    <col min="34" max="34" width="11.28515625" bestFit="1" customWidth="1"/>
  </cols>
  <sheetData>
    <row r="1" spans="1:34" s="34" customFormat="1" ht="26.25" x14ac:dyDescent="0.4">
      <c r="A1" s="34" t="s">
        <v>51</v>
      </c>
    </row>
    <row r="2" spans="1:34" x14ac:dyDescent="0.25">
      <c r="A2" s="77"/>
      <c r="B2" s="2" t="s">
        <v>238</v>
      </c>
    </row>
    <row r="5" spans="1:34" x14ac:dyDescent="0.25">
      <c r="A5" s="32" t="s">
        <v>47</v>
      </c>
      <c r="B5" s="32" t="s">
        <v>43</v>
      </c>
      <c r="C5" s="32" t="s">
        <v>44</v>
      </c>
      <c r="J5" t="s">
        <v>90</v>
      </c>
      <c r="L5" t="s">
        <v>91</v>
      </c>
    </row>
    <row r="6" spans="1:34" x14ac:dyDescent="0.25">
      <c r="A6" s="1" t="s">
        <v>204</v>
      </c>
      <c r="B6" s="40">
        <v>8.4885999999999999</v>
      </c>
      <c r="C6" s="40">
        <v>1.2971999999999999</v>
      </c>
      <c r="E6" s="2"/>
      <c r="F6" s="1"/>
      <c r="G6" t="s">
        <v>81</v>
      </c>
      <c r="J6" s="1">
        <v>20</v>
      </c>
      <c r="K6" t="s">
        <v>34</v>
      </c>
      <c r="L6" s="1">
        <v>20</v>
      </c>
    </row>
    <row r="7" spans="1:34" x14ac:dyDescent="0.25">
      <c r="B7" s="40">
        <v>17.124500000000001</v>
      </c>
      <c r="C7" s="40">
        <v>1.2618</v>
      </c>
      <c r="G7" t="s">
        <v>82</v>
      </c>
      <c r="J7" s="1">
        <v>58</v>
      </c>
      <c r="K7" t="s">
        <v>34</v>
      </c>
      <c r="L7" s="1">
        <v>38</v>
      </c>
      <c r="O7" s="96" t="s">
        <v>15</v>
      </c>
      <c r="P7" s="96"/>
      <c r="Q7" s="96"/>
      <c r="R7" s="90"/>
      <c r="Z7">
        <v>20</v>
      </c>
    </row>
    <row r="8" spans="1:34" x14ac:dyDescent="0.25">
      <c r="B8" s="40">
        <v>25.608000000000001</v>
      </c>
      <c r="C8" s="40">
        <v>1.1561999999999999</v>
      </c>
      <c r="G8" t="s">
        <v>83</v>
      </c>
      <c r="I8" s="1"/>
      <c r="J8" s="1">
        <v>21.883487177418772</v>
      </c>
      <c r="K8" t="s">
        <v>70</v>
      </c>
      <c r="L8" s="37"/>
      <c r="O8" s="3" t="s">
        <v>16</v>
      </c>
      <c r="P8" s="3">
        <f>(P12/(P12+3))*0.11*13</f>
        <v>1.0009999999999999</v>
      </c>
      <c r="Q8" s="3"/>
      <c r="R8" s="3"/>
      <c r="T8" s="4" t="s">
        <v>23</v>
      </c>
      <c r="U8" s="4"/>
      <c r="V8" s="4">
        <f>P10/P8/P13</f>
        <v>2.0846028971028976</v>
      </c>
      <c r="W8" s="4" t="s">
        <v>24</v>
      </c>
      <c r="Z8">
        <f>Z7/1.15</f>
        <v>17.39130434782609</v>
      </c>
    </row>
    <row r="9" spans="1:34" x14ac:dyDescent="0.25">
      <c r="B9" s="40">
        <v>35.012900000000002</v>
      </c>
      <c r="C9" s="40">
        <v>0.9909</v>
      </c>
      <c r="G9" s="40" t="s">
        <v>184</v>
      </c>
      <c r="H9" s="40"/>
      <c r="I9" s="1"/>
      <c r="J9" s="1"/>
      <c r="K9" s="40"/>
      <c r="L9" s="84">
        <f>L7-L6</f>
        <v>18</v>
      </c>
      <c r="O9" s="3" t="s">
        <v>14</v>
      </c>
      <c r="P9" s="55">
        <v>2</v>
      </c>
      <c r="Q9" s="3"/>
      <c r="R9" s="3"/>
      <c r="T9" s="4" t="s">
        <v>25</v>
      </c>
      <c r="U9" s="4"/>
      <c r="V9" s="4">
        <f>SQRT(V8/1481)</f>
        <v>3.7517521426381553E-2</v>
      </c>
      <c r="W9" s="4"/>
    </row>
    <row r="10" spans="1:34" x14ac:dyDescent="0.25">
      <c r="B10" s="40">
        <v>39.633200000000002</v>
      </c>
      <c r="C10" s="40">
        <v>0.9647</v>
      </c>
      <c r="G10" s="40"/>
      <c r="H10" s="40"/>
      <c r="I10" s="1"/>
      <c r="J10" s="1"/>
      <c r="K10" s="40"/>
      <c r="L10" s="83"/>
      <c r="O10" s="3" t="s">
        <v>3</v>
      </c>
      <c r="P10" s="3">
        <v>12.520125</v>
      </c>
      <c r="Q10" s="3" t="s">
        <v>9</v>
      </c>
      <c r="R10" s="3"/>
      <c r="T10" s="4" t="s">
        <v>33</v>
      </c>
      <c r="U10" s="4"/>
      <c r="V10" s="4">
        <f>V9*661</f>
        <v>24.799081662838205</v>
      </c>
      <c r="W10" s="4" t="s">
        <v>34</v>
      </c>
    </row>
    <row r="11" spans="1:34" x14ac:dyDescent="0.25">
      <c r="B11" s="40">
        <v>44.359299999999998</v>
      </c>
      <c r="C11" s="40">
        <v>0.87090000000000001</v>
      </c>
      <c r="G11" t="s">
        <v>84</v>
      </c>
      <c r="I11" s="1"/>
      <c r="J11" s="1">
        <v>23</v>
      </c>
      <c r="K11" t="s">
        <v>34</v>
      </c>
      <c r="L11" s="1">
        <v>23</v>
      </c>
      <c r="O11" s="3" t="s">
        <v>2</v>
      </c>
      <c r="P11" s="53">
        <f>'CD0 calculator'!F30</f>
        <v>1.9418233110513626E-2</v>
      </c>
      <c r="Q11" s="3"/>
      <c r="R11" s="3"/>
      <c r="T11" s="3" t="s">
        <v>29</v>
      </c>
      <c r="U11" s="3"/>
      <c r="V11" s="3">
        <v>0</v>
      </c>
    </row>
    <row r="12" spans="1:34" x14ac:dyDescent="0.25">
      <c r="B12" s="40">
        <v>49.3264</v>
      </c>
      <c r="C12" s="40">
        <v>0.79720000000000002</v>
      </c>
      <c r="G12" t="s">
        <v>85</v>
      </c>
      <c r="I12" s="1"/>
      <c r="J12" s="1">
        <v>57</v>
      </c>
      <c r="K12" t="s">
        <v>34</v>
      </c>
      <c r="L12" s="1">
        <v>38</v>
      </c>
      <c r="O12" s="3" t="s">
        <v>12</v>
      </c>
      <c r="P12" s="54">
        <f>AR</f>
        <v>7</v>
      </c>
      <c r="Q12" s="3"/>
      <c r="R12" s="3"/>
      <c r="T12" s="3" t="s">
        <v>38</v>
      </c>
      <c r="U12" s="3"/>
      <c r="V12" s="3">
        <v>0.05</v>
      </c>
    </row>
    <row r="13" spans="1:34" x14ac:dyDescent="0.25">
      <c r="B13" s="40">
        <v>54.162799999999997</v>
      </c>
      <c r="C13" s="40">
        <v>0.70399999999999996</v>
      </c>
      <c r="G13" t="s">
        <v>86</v>
      </c>
      <c r="I13" s="1"/>
      <c r="J13" s="95">
        <v>87.3491150975035</v>
      </c>
      <c r="K13" t="s">
        <v>70</v>
      </c>
      <c r="L13" s="38"/>
      <c r="O13" s="3" t="s">
        <v>7</v>
      </c>
      <c r="P13" s="54">
        <f>Sref</f>
        <v>6</v>
      </c>
      <c r="Q13" s="3" t="s">
        <v>8</v>
      </c>
      <c r="R13" s="3"/>
      <c r="T13" s="35" t="s">
        <v>69</v>
      </c>
      <c r="V13">
        <f>'CD0 calculator'!B14</f>
        <v>6.4807406984078604</v>
      </c>
      <c r="W13" t="s">
        <v>70</v>
      </c>
      <c r="Y13" t="s">
        <v>71</v>
      </c>
    </row>
    <row r="14" spans="1:34" x14ac:dyDescent="0.25">
      <c r="B14" s="40">
        <v>59.412700000000001</v>
      </c>
      <c r="C14" s="40">
        <v>0.61890000000000001</v>
      </c>
      <c r="G14" s="40" t="s">
        <v>184</v>
      </c>
      <c r="H14" s="40"/>
      <c r="I14" s="1"/>
      <c r="J14" s="1"/>
      <c r="K14" s="40"/>
      <c r="L14" s="84">
        <f>L12-L11</f>
        <v>15</v>
      </c>
      <c r="O14" s="33" t="s">
        <v>48</v>
      </c>
      <c r="P14" s="55">
        <v>10</v>
      </c>
      <c r="Q14" s="3" t="s">
        <v>49</v>
      </c>
      <c r="R14" s="3"/>
    </row>
    <row r="15" spans="1:34" ht="75" x14ac:dyDescent="0.25">
      <c r="B15" s="40">
        <v>64.304599999999994</v>
      </c>
      <c r="C15" s="40">
        <v>8.2000000000000007E-3</v>
      </c>
      <c r="G15" s="40"/>
      <c r="H15" s="40"/>
      <c r="I15" s="1"/>
      <c r="J15" s="1"/>
      <c r="K15" s="40"/>
      <c r="L15" s="84"/>
      <c r="O15" s="5" t="s">
        <v>1</v>
      </c>
      <c r="P15" s="5" t="s">
        <v>4</v>
      </c>
      <c r="Q15" s="5" t="s">
        <v>5</v>
      </c>
      <c r="R15" s="5" t="s">
        <v>209</v>
      </c>
      <c r="S15" s="5" t="s">
        <v>6</v>
      </c>
      <c r="T15" s="5" t="s">
        <v>10</v>
      </c>
      <c r="U15" s="5" t="s">
        <v>11</v>
      </c>
      <c r="V15" s="5" t="s">
        <v>32</v>
      </c>
      <c r="W15" s="5" t="s">
        <v>134</v>
      </c>
      <c r="X15" s="5" t="s">
        <v>17</v>
      </c>
      <c r="Y15" s="5" t="s">
        <v>18</v>
      </c>
      <c r="Z15" s="5" t="s">
        <v>19</v>
      </c>
      <c r="AA15" s="5" t="s">
        <v>31</v>
      </c>
      <c r="AB15" s="5" t="s">
        <v>35</v>
      </c>
      <c r="AC15" s="5" t="s">
        <v>207</v>
      </c>
      <c r="AD15" s="5" t="s">
        <v>208</v>
      </c>
      <c r="AE15" s="5" t="s">
        <v>206</v>
      </c>
      <c r="AF15" s="5" t="s">
        <v>37</v>
      </c>
      <c r="AG15" s="5" t="s">
        <v>135</v>
      </c>
      <c r="AH15" s="5" t="s">
        <v>36</v>
      </c>
    </row>
    <row r="16" spans="1:34" x14ac:dyDescent="0.25">
      <c r="B16" s="40">
        <v>67.065100000000001</v>
      </c>
      <c r="C16" s="40">
        <v>-7.6899999999999996E-2</v>
      </c>
      <c r="G16" t="s">
        <v>88</v>
      </c>
      <c r="I16" s="1"/>
      <c r="J16" s="1">
        <v>25</v>
      </c>
      <c r="K16" t="s">
        <v>34</v>
      </c>
      <c r="L16" s="1">
        <v>25</v>
      </c>
      <c r="O16" s="6">
        <v>10</v>
      </c>
      <c r="P16" s="7">
        <f>O16/661</f>
        <v>1.5128593040847202E-2</v>
      </c>
      <c r="Q16" s="8">
        <f>1481*P16^2</f>
        <v>0.33896287887283971</v>
      </c>
      <c r="R16" s="8"/>
      <c r="S16" s="9" t="str">
        <f>IF(X16&lt;1,"",$P$10/Q16/$P$13)</f>
        <v/>
      </c>
      <c r="T16" s="9" t="str">
        <f>IF(X16&lt;1,"",S16^2/(PI()*$P$12)+$P$11)</f>
        <v/>
      </c>
      <c r="U16" s="8" t="str">
        <f>IF(T16="","",Q16*T16*$P$13)</f>
        <v/>
      </c>
      <c r="V16" s="8">
        <f t="shared" ref="V16:V47" si="0">$P$9*($G$34*O16^2+$G$35*O16+$G$36)</f>
        <v>2.6073999999999997</v>
      </c>
      <c r="W16" s="6" t="str">
        <f>IF(T16="","",(V16-U16)/$P$10)</f>
        <v/>
      </c>
      <c r="X16" s="10">
        <f>P16/$V$9</f>
        <v>0.4032407383449666</v>
      </c>
      <c r="Y16" s="8" t="str">
        <f>IF(X16&lt;1,"",S16/T16)</f>
        <v/>
      </c>
      <c r="Z16" s="9" t="str">
        <f>IF(X16&lt;1,"",Y16*P16)</f>
        <v/>
      </c>
      <c r="AA16" s="11">
        <f>O16-$V$10</f>
        <v>-14.799081662838205</v>
      </c>
      <c r="AB16" s="6" t="str">
        <f>IF(X16&lt;1,"",W16*O16/60*6080)</f>
        <v/>
      </c>
      <c r="AC16" s="6"/>
      <c r="AD16" s="6"/>
      <c r="AE16" s="6"/>
      <c r="AF16" s="8" t="str">
        <f t="shared" ref="AF16:AF68" si="1">IF(X16&lt;1,"",X16^2)</f>
        <v/>
      </c>
      <c r="AG16" s="9" t="str">
        <f t="shared" ref="AG16:AG68" si="2">IF(X16&lt;1,"",(V16-(Q16*$P$13*($P$11+$P$8^2/(PI()*$P$12))))/$P$10)</f>
        <v/>
      </c>
      <c r="AH16" s="11" t="str">
        <f t="shared" ref="AH16:AH68" si="3">IF(X16&lt;1,"",AG16*O16*6080/60)</f>
        <v/>
      </c>
    </row>
    <row r="17" spans="1:34" x14ac:dyDescent="0.25">
      <c r="G17" t="s">
        <v>89</v>
      </c>
      <c r="I17" s="1"/>
      <c r="J17" s="1">
        <v>57</v>
      </c>
      <c r="K17" t="s">
        <v>34</v>
      </c>
      <c r="L17" s="1">
        <v>38</v>
      </c>
      <c r="O17" s="6">
        <v>20</v>
      </c>
      <c r="P17" s="7">
        <f>O17/661</f>
        <v>3.0257186081694403E-2</v>
      </c>
      <c r="Q17" s="8">
        <f>1481*P17^2</f>
        <v>1.3558515154913588</v>
      </c>
      <c r="R17" s="8" t="e">
        <f t="shared" ref="R17:R23" si="4">S17/(0.109*(AR_e/(AR_e+3)))</f>
        <v>#VALUE!</v>
      </c>
      <c r="S17" s="9" t="str">
        <f t="shared" ref="S17:S68" si="5">IF(X17&lt;1,"",$P$10/Q17/$P$13)</f>
        <v/>
      </c>
      <c r="T17" s="9" t="str">
        <f t="shared" ref="T17:T68" si="6">IF(X17&lt;1,"",S17^2/(PI()*$P$12)+$P$11)</f>
        <v/>
      </c>
      <c r="U17" s="8" t="str">
        <f t="shared" ref="U17:U68" si="7">IF(T17="","",Q17*T17*$P$13)</f>
        <v/>
      </c>
      <c r="V17" s="8">
        <f t="shared" si="0"/>
        <v>2.4234</v>
      </c>
      <c r="W17" s="8" t="str">
        <f t="shared" ref="W17:W68" si="8">IF(T17="","",(V17-U17)/$P$10)</f>
        <v/>
      </c>
      <c r="X17" s="10">
        <f t="shared" ref="X17:X68" si="9">P17/$V$9</f>
        <v>0.8064814766899332</v>
      </c>
      <c r="Y17" s="8" t="str">
        <f t="shared" ref="Y17:Y68" si="10">IF(X17&lt;1,"",S17/T17)</f>
        <v/>
      </c>
      <c r="Z17" s="9" t="str">
        <f t="shared" ref="Z17:Z68" si="11">IF(X17&lt;1,"",Y17*P17)</f>
        <v/>
      </c>
      <c r="AA17" s="11">
        <f t="shared" ref="AA17:AA68" si="12">O17-$V$10</f>
        <v>-4.7990816628382049</v>
      </c>
      <c r="AB17" s="6" t="str">
        <f t="shared" ref="AB17:AB68" si="13">IF(X17&lt;1,"",W17*O17/60*6080)</f>
        <v/>
      </c>
      <c r="AC17" s="11">
        <f t="shared" ref="AC17:AC24" si="14">DEGREES(ATAN(AE17))</f>
        <v>0</v>
      </c>
      <c r="AD17" s="11" t="e">
        <f t="shared" ref="AD17:AD24" si="15">AC17+R17</f>
        <v>#VALUE!</v>
      </c>
      <c r="AE17" s="6"/>
      <c r="AF17" s="8" t="str">
        <f t="shared" si="1"/>
        <v/>
      </c>
      <c r="AG17" s="9" t="str">
        <f t="shared" si="2"/>
        <v/>
      </c>
      <c r="AH17" s="11" t="str">
        <f t="shared" si="3"/>
        <v/>
      </c>
    </row>
    <row r="18" spans="1:34" x14ac:dyDescent="0.25">
      <c r="A18" s="1" t="s">
        <v>197</v>
      </c>
      <c r="B18" s="1">
        <v>1500</v>
      </c>
      <c r="C18" s="1" t="s">
        <v>198</v>
      </c>
      <c r="G18" t="s">
        <v>87</v>
      </c>
      <c r="I18" s="1"/>
      <c r="J18" s="95">
        <v>143.82260933706311</v>
      </c>
      <c r="K18" t="s">
        <v>70</v>
      </c>
      <c r="L18" s="38"/>
      <c r="O18" s="6">
        <f>O17+1</f>
        <v>21</v>
      </c>
      <c r="P18" s="7">
        <f t="shared" ref="P18:P68" si="16">O18/661</f>
        <v>3.1770045385779121E-2</v>
      </c>
      <c r="Q18" s="8">
        <f t="shared" ref="Q18:Q68" si="17">1481*P18^2</f>
        <v>1.4948262958292231</v>
      </c>
      <c r="R18" s="8" t="e">
        <f t="shared" si="4"/>
        <v>#VALUE!</v>
      </c>
      <c r="S18" s="9" t="str">
        <f t="shared" si="5"/>
        <v/>
      </c>
      <c r="T18" s="9" t="str">
        <f t="shared" si="6"/>
        <v/>
      </c>
      <c r="U18" s="8" t="str">
        <f t="shared" si="7"/>
        <v/>
      </c>
      <c r="V18" s="8">
        <f t="shared" si="0"/>
        <v>2.4028</v>
      </c>
      <c r="W18" s="8" t="str">
        <f t="shared" si="8"/>
        <v/>
      </c>
      <c r="X18" s="10">
        <f t="shared" si="9"/>
        <v>0.84680555052442974</v>
      </c>
      <c r="Y18" s="8" t="str">
        <f t="shared" si="10"/>
        <v/>
      </c>
      <c r="Z18" s="9" t="str">
        <f t="shared" si="11"/>
        <v/>
      </c>
      <c r="AA18" s="11">
        <f t="shared" si="12"/>
        <v>-3.7990816628382049</v>
      </c>
      <c r="AB18" s="6" t="str">
        <f t="shared" si="13"/>
        <v/>
      </c>
      <c r="AC18" s="11">
        <f t="shared" si="14"/>
        <v>0</v>
      </c>
      <c r="AD18" s="11" t="e">
        <f t="shared" si="15"/>
        <v>#VALUE!</v>
      </c>
      <c r="AE18" s="6"/>
      <c r="AF18" s="8" t="str">
        <f t="shared" si="1"/>
        <v/>
      </c>
      <c r="AG18" s="9" t="str">
        <f t="shared" si="2"/>
        <v/>
      </c>
      <c r="AH18" s="11" t="str">
        <f t="shared" si="3"/>
        <v/>
      </c>
    </row>
    <row r="19" spans="1:34" x14ac:dyDescent="0.25">
      <c r="A19" s="1" t="s">
        <v>199</v>
      </c>
      <c r="B19" s="52">
        <v>5</v>
      </c>
      <c r="G19" t="s">
        <v>184</v>
      </c>
      <c r="I19" s="1"/>
      <c r="J19" s="1"/>
      <c r="L19" s="36">
        <f>L17-L16</f>
        <v>13</v>
      </c>
      <c r="O19" s="6">
        <f t="shared" ref="O19:O68" si="18">O18+1</f>
        <v>22</v>
      </c>
      <c r="P19" s="7">
        <f t="shared" si="16"/>
        <v>3.3282904689863842E-2</v>
      </c>
      <c r="Q19" s="8">
        <f t="shared" si="17"/>
        <v>1.6405803337445439</v>
      </c>
      <c r="R19" s="8" t="e">
        <f t="shared" si="4"/>
        <v>#VALUE!</v>
      </c>
      <c r="S19" s="9" t="str">
        <f t="shared" si="5"/>
        <v/>
      </c>
      <c r="T19" s="9" t="str">
        <f t="shared" si="6"/>
        <v/>
      </c>
      <c r="U19" s="8" t="str">
        <f t="shared" si="7"/>
        <v/>
      </c>
      <c r="V19" s="8">
        <f t="shared" si="0"/>
        <v>2.3817999999999997</v>
      </c>
      <c r="W19" s="8" t="str">
        <f t="shared" si="8"/>
        <v/>
      </c>
      <c r="X19" s="10">
        <f t="shared" si="9"/>
        <v>0.88712962435892639</v>
      </c>
      <c r="Y19" s="8" t="str">
        <f t="shared" si="10"/>
        <v/>
      </c>
      <c r="Z19" s="9" t="str">
        <f t="shared" si="11"/>
        <v/>
      </c>
      <c r="AA19" s="11">
        <f t="shared" si="12"/>
        <v>-2.7990816628382049</v>
      </c>
      <c r="AB19" s="6" t="str">
        <f t="shared" si="13"/>
        <v/>
      </c>
      <c r="AC19" s="11">
        <f t="shared" si="14"/>
        <v>0</v>
      </c>
      <c r="AD19" s="11" t="e">
        <f t="shared" si="15"/>
        <v>#VALUE!</v>
      </c>
      <c r="AE19" s="6"/>
      <c r="AF19" s="8" t="str">
        <f t="shared" si="1"/>
        <v/>
      </c>
      <c r="AG19" s="9" t="str">
        <f t="shared" si="2"/>
        <v/>
      </c>
      <c r="AH19" s="11" t="str">
        <f t="shared" si="3"/>
        <v/>
      </c>
    </row>
    <row r="20" spans="1:34" x14ac:dyDescent="0.25">
      <c r="A20" s="1" t="s">
        <v>200</v>
      </c>
      <c r="B20" s="1">
        <v>5</v>
      </c>
      <c r="G20" s="40"/>
      <c r="H20" s="40"/>
      <c r="I20" s="1"/>
      <c r="J20" s="1"/>
      <c r="K20" s="40"/>
      <c r="L20" s="40"/>
      <c r="O20" s="6">
        <f t="shared" si="18"/>
        <v>23</v>
      </c>
      <c r="P20" s="7">
        <f t="shared" si="16"/>
        <v>3.4795763993948563E-2</v>
      </c>
      <c r="Q20" s="8">
        <f t="shared" si="17"/>
        <v>1.7931136292373222</v>
      </c>
      <c r="R20" s="8" t="e">
        <f t="shared" si="4"/>
        <v>#VALUE!</v>
      </c>
      <c r="S20" s="9" t="str">
        <f t="shared" si="5"/>
        <v/>
      </c>
      <c r="T20" s="9" t="str">
        <f t="shared" si="6"/>
        <v/>
      </c>
      <c r="U20" s="8" t="str">
        <f t="shared" si="7"/>
        <v/>
      </c>
      <c r="V20" s="8">
        <f t="shared" si="0"/>
        <v>2.3603999999999998</v>
      </c>
      <c r="W20" s="8" t="str">
        <f t="shared" si="8"/>
        <v/>
      </c>
      <c r="X20" s="10">
        <f t="shared" si="9"/>
        <v>0.92745369819342316</v>
      </c>
      <c r="Y20" s="8" t="str">
        <f t="shared" si="10"/>
        <v/>
      </c>
      <c r="Z20" s="9" t="str">
        <f t="shared" si="11"/>
        <v/>
      </c>
      <c r="AA20" s="11">
        <f t="shared" si="12"/>
        <v>-1.7990816628382049</v>
      </c>
      <c r="AB20" s="6" t="str">
        <f t="shared" si="13"/>
        <v/>
      </c>
      <c r="AC20" s="11">
        <f t="shared" si="14"/>
        <v>0</v>
      </c>
      <c r="AD20" s="11" t="e">
        <f t="shared" si="15"/>
        <v>#VALUE!</v>
      </c>
      <c r="AE20" s="6"/>
      <c r="AF20" s="8" t="str">
        <f t="shared" si="1"/>
        <v/>
      </c>
      <c r="AG20" s="9" t="str">
        <f t="shared" si="2"/>
        <v/>
      </c>
      <c r="AH20" s="11" t="str">
        <f t="shared" si="3"/>
        <v/>
      </c>
    </row>
    <row r="21" spans="1:34" x14ac:dyDescent="0.25">
      <c r="A21" s="1" t="s">
        <v>42</v>
      </c>
      <c r="B21" s="1">
        <f>0.68*NUMCELLS</f>
        <v>3.4000000000000004</v>
      </c>
      <c r="C21" s="1" t="s">
        <v>50</v>
      </c>
      <c r="G21" s="40"/>
      <c r="H21" s="40"/>
      <c r="I21" s="1"/>
      <c r="J21" s="1"/>
      <c r="K21" s="40"/>
      <c r="L21" s="40"/>
      <c r="O21" s="6">
        <f t="shared" si="18"/>
        <v>24</v>
      </c>
      <c r="P21" s="7">
        <f t="shared" si="16"/>
        <v>3.6308623298033284E-2</v>
      </c>
      <c r="Q21" s="8">
        <f t="shared" si="17"/>
        <v>1.9524261823075566</v>
      </c>
      <c r="R21" s="8" t="e">
        <f t="shared" si="4"/>
        <v>#VALUE!</v>
      </c>
      <c r="S21" s="9" t="str">
        <f t="shared" si="5"/>
        <v/>
      </c>
      <c r="T21" s="9" t="str">
        <f t="shared" si="6"/>
        <v/>
      </c>
      <c r="U21" s="8" t="str">
        <f t="shared" si="7"/>
        <v/>
      </c>
      <c r="V21" s="8">
        <f t="shared" si="0"/>
        <v>2.3386</v>
      </c>
      <c r="W21" s="8" t="str">
        <f t="shared" si="8"/>
        <v/>
      </c>
      <c r="X21" s="10">
        <f t="shared" si="9"/>
        <v>0.96777777202791981</v>
      </c>
      <c r="Y21" s="8" t="str">
        <f t="shared" si="10"/>
        <v/>
      </c>
      <c r="Z21" s="9" t="str">
        <f t="shared" si="11"/>
        <v/>
      </c>
      <c r="AA21" s="11">
        <f t="shared" si="12"/>
        <v>-0.79908166283820492</v>
      </c>
      <c r="AB21" s="11" t="str">
        <f t="shared" si="13"/>
        <v/>
      </c>
      <c r="AC21" s="11">
        <f t="shared" si="14"/>
        <v>0</v>
      </c>
      <c r="AD21" s="11" t="e">
        <f t="shared" si="15"/>
        <v>#VALUE!</v>
      </c>
      <c r="AE21" s="11"/>
      <c r="AF21" s="8" t="str">
        <f t="shared" si="1"/>
        <v/>
      </c>
      <c r="AG21" s="9" t="str">
        <f t="shared" si="2"/>
        <v/>
      </c>
      <c r="AH21" s="11" t="str">
        <f t="shared" si="3"/>
        <v/>
      </c>
    </row>
    <row r="22" spans="1:34" x14ac:dyDescent="0.25">
      <c r="A22" s="1" t="s">
        <v>201</v>
      </c>
      <c r="B22" s="1">
        <f>B20*NUMCELLS/2</f>
        <v>12.5</v>
      </c>
      <c r="C22" s="1" t="s">
        <v>202</v>
      </c>
      <c r="G22" t="s">
        <v>133</v>
      </c>
      <c r="I22" s="1"/>
      <c r="J22" s="1"/>
      <c r="L22">
        <f>IF(MISSION1_WARNING="",IF(MISSION2_WARNING="",IF(MISSION3_WARNING="",1,0.1),0.1),0.1)*IF(MISSION3_TODIST&gt;150,0.1,1)</f>
        <v>1</v>
      </c>
      <c r="O22" s="6">
        <f t="shared" si="18"/>
        <v>25</v>
      </c>
      <c r="P22" s="7">
        <f t="shared" si="16"/>
        <v>3.7821482602118005E-2</v>
      </c>
      <c r="Q22" s="8">
        <f t="shared" si="17"/>
        <v>2.1185179929552485</v>
      </c>
      <c r="R22" s="8">
        <f t="shared" si="4"/>
        <v>12.909241326792937</v>
      </c>
      <c r="S22" s="9">
        <f t="shared" si="5"/>
        <v>0.98497511323430098</v>
      </c>
      <c r="T22" s="9">
        <f t="shared" si="6"/>
        <v>6.3534890791057397E-2</v>
      </c>
      <c r="U22" s="8">
        <f t="shared" si="7"/>
        <v>0.80759885592781089</v>
      </c>
      <c r="V22" s="8">
        <f t="shared" si="0"/>
        <v>2.3163999999999998</v>
      </c>
      <c r="W22" s="8">
        <f t="shared" si="8"/>
        <v>0.12051007031257187</v>
      </c>
      <c r="X22" s="10">
        <f t="shared" si="9"/>
        <v>1.0081018458624165</v>
      </c>
      <c r="Y22" s="8">
        <f t="shared" si="10"/>
        <v>15.502900862354787</v>
      </c>
      <c r="Z22" s="9">
        <f t="shared" si="11"/>
        <v>0.58634269524791183</v>
      </c>
      <c r="AA22" s="11">
        <f t="shared" si="12"/>
        <v>0.20091833716179508</v>
      </c>
      <c r="AB22" s="11">
        <f t="shared" si="13"/>
        <v>305.29217812518203</v>
      </c>
      <c r="AC22" s="11">
        <f t="shared" si="14"/>
        <v>0</v>
      </c>
      <c r="AD22" s="11">
        <f t="shared" si="15"/>
        <v>12.909241326792937</v>
      </c>
      <c r="AE22" s="11"/>
      <c r="AF22" s="8">
        <f t="shared" si="1"/>
        <v>1.0162693316312112</v>
      </c>
      <c r="AG22" s="9">
        <f t="shared" si="2"/>
        <v>0.11904082064522692</v>
      </c>
      <c r="AH22" s="11">
        <f t="shared" si="3"/>
        <v>301.57007896790822</v>
      </c>
    </row>
    <row r="23" spans="1:34" x14ac:dyDescent="0.25">
      <c r="G23" t="s">
        <v>132</v>
      </c>
      <c r="I23" s="1"/>
      <c r="J23" s="36">
        <f ca="1">NENG+HEADWIND+RAND()</f>
        <v>12.427332842882008</v>
      </c>
      <c r="O23" s="6">
        <f t="shared" si="18"/>
        <v>26</v>
      </c>
      <c r="P23" s="7">
        <f t="shared" si="16"/>
        <v>3.9334341906202726E-2</v>
      </c>
      <c r="Q23" s="8">
        <f t="shared" si="17"/>
        <v>2.2913890611803964</v>
      </c>
      <c r="R23" s="8">
        <f t="shared" si="4"/>
        <v>11.935319274031935</v>
      </c>
      <c r="S23" s="9">
        <f t="shared" si="5"/>
        <v>0.91066486060863649</v>
      </c>
      <c r="T23" s="9">
        <f t="shared" si="6"/>
        <v>5.7129336990066198E-2</v>
      </c>
      <c r="U23" s="8">
        <f t="shared" si="7"/>
        <v>0.78543322710915775</v>
      </c>
      <c r="V23" s="8">
        <f t="shared" si="0"/>
        <v>2.2938000000000001</v>
      </c>
      <c r="W23" s="8">
        <f t="shared" si="8"/>
        <v>0.12047537647514241</v>
      </c>
      <c r="X23" s="10">
        <f t="shared" si="9"/>
        <v>1.0484259196969132</v>
      </c>
      <c r="Y23" s="8">
        <f t="shared" si="10"/>
        <v>15.940406603475642</v>
      </c>
      <c r="Z23" s="9">
        <f t="shared" si="11"/>
        <v>0.62700540346500266</v>
      </c>
      <c r="AA23" s="11">
        <f t="shared" si="12"/>
        <v>1.2009183371617951</v>
      </c>
      <c r="AB23" s="11">
        <f t="shared" si="13"/>
        <v>317.41245855317521</v>
      </c>
      <c r="AC23" s="11">
        <f t="shared" si="14"/>
        <v>0</v>
      </c>
      <c r="AD23" s="11">
        <f t="shared" si="15"/>
        <v>11.935319274031935</v>
      </c>
      <c r="AE23" s="11"/>
      <c r="AF23" s="8">
        <f t="shared" si="1"/>
        <v>1.0991969090923184</v>
      </c>
      <c r="AG23" s="9">
        <f t="shared" si="2"/>
        <v>0.11185230502687608</v>
      </c>
      <c r="AH23" s="11">
        <f t="shared" si="3"/>
        <v>294.69353964414285</v>
      </c>
    </row>
    <row r="24" spans="1:34" x14ac:dyDescent="0.25">
      <c r="I24" s="1"/>
      <c r="J24" s="1"/>
      <c r="O24" s="6">
        <f t="shared" si="18"/>
        <v>27</v>
      </c>
      <c r="P24" s="7">
        <f t="shared" si="16"/>
        <v>4.084720121028744E-2</v>
      </c>
      <c r="Q24" s="8">
        <f t="shared" si="17"/>
        <v>2.471039386983001</v>
      </c>
      <c r="R24" s="8">
        <f t="shared" ref="R24:R68" si="19">S24/(0.109*(AR_e/(AR_e+3)))</f>
        <v>11.06759373010369</v>
      </c>
      <c r="S24" s="9">
        <f t="shared" si="5"/>
        <v>0.84445740160691141</v>
      </c>
      <c r="T24" s="9">
        <f t="shared" si="6"/>
        <v>5.1845293511315262E-2</v>
      </c>
      <c r="U24" s="8">
        <f t="shared" si="7"/>
        <v>0.76867057377692538</v>
      </c>
      <c r="V24" s="8">
        <f t="shared" si="0"/>
        <v>2.2707999999999999</v>
      </c>
      <c r="W24" s="8">
        <f t="shared" si="8"/>
        <v>0.11997719082062476</v>
      </c>
      <c r="X24" s="10">
        <f t="shared" si="9"/>
        <v>1.0887499935314098</v>
      </c>
      <c r="Y24" s="8">
        <f t="shared" si="10"/>
        <v>16.288024320329253</v>
      </c>
      <c r="Z24" s="9">
        <f t="shared" si="11"/>
        <v>0.66532020673054437</v>
      </c>
      <c r="AA24" s="11">
        <f t="shared" si="12"/>
        <v>2.2009183371617951</v>
      </c>
      <c r="AB24" s="11">
        <f t="shared" si="13"/>
        <v>328.25759408522936</v>
      </c>
      <c r="AC24" s="11">
        <f t="shared" si="14"/>
        <v>6.841485091220842</v>
      </c>
      <c r="AD24" s="11">
        <f t="shared" si="15"/>
        <v>17.909078821324531</v>
      </c>
      <c r="AE24" s="89">
        <f>W24</f>
        <v>0.11997719082062476</v>
      </c>
      <c r="AF24" s="8">
        <f t="shared" si="1"/>
        <v>1.1853765484146448</v>
      </c>
      <c r="AG24" s="9">
        <f t="shared" si="2"/>
        <v>0.10442072626455973</v>
      </c>
      <c r="AH24" s="11">
        <f t="shared" si="3"/>
        <v>285.69510705983544</v>
      </c>
    </row>
    <row r="25" spans="1:34" x14ac:dyDescent="0.25">
      <c r="I25" s="1"/>
      <c r="J25" s="1"/>
      <c r="O25" s="6">
        <f t="shared" si="18"/>
        <v>28</v>
      </c>
      <c r="P25" s="7">
        <f t="shared" si="16"/>
        <v>4.2360060514372161E-2</v>
      </c>
      <c r="Q25" s="8">
        <f t="shared" si="17"/>
        <v>2.657468970363063</v>
      </c>
      <c r="R25" s="8">
        <f t="shared" si="19"/>
        <v>10.291168149547945</v>
      </c>
      <c r="S25" s="9">
        <f t="shared" si="5"/>
        <v>0.78521612981050815</v>
      </c>
      <c r="T25" s="9">
        <f t="shared" si="6"/>
        <v>4.7455166625296565E-2</v>
      </c>
      <c r="U25" s="8">
        <f t="shared" si="7"/>
        <v>0.75666379674080675</v>
      </c>
      <c r="V25" s="8">
        <f t="shared" si="0"/>
        <v>2.2473999999999998</v>
      </c>
      <c r="W25" s="8">
        <f t="shared" si="8"/>
        <v>0.11906719807183978</v>
      </c>
      <c r="X25" s="10">
        <f t="shared" si="9"/>
        <v>1.1290740673659063</v>
      </c>
      <c r="Y25" s="8">
        <f t="shared" si="10"/>
        <v>16.546483463234516</v>
      </c>
      <c r="Z25" s="9">
        <f t="shared" si="11"/>
        <v>0.70091004080267238</v>
      </c>
      <c r="AA25" s="11">
        <f t="shared" si="12"/>
        <v>3.2009183371617951</v>
      </c>
      <c r="AB25" s="11">
        <f>IF(X25&lt;1,"",W25*O25/60*6080)</f>
        <v>337.83332999583342</v>
      </c>
      <c r="AC25" s="11">
        <f t="shared" ref="AC25:AC68" si="20">DEGREES(ATAN(AE25))</f>
        <v>6.7900806910593481</v>
      </c>
      <c r="AD25" s="11">
        <f t="shared" ref="AD25:AD68" si="21">AC25+R25</f>
        <v>17.081248840607294</v>
      </c>
      <c r="AE25" s="89">
        <f t="shared" ref="AE25:AE68" si="22">W25</f>
        <v>0.11906719807183978</v>
      </c>
      <c r="AF25" s="8">
        <f t="shared" si="1"/>
        <v>1.2748082495981912</v>
      </c>
      <c r="AG25" s="9">
        <f t="shared" si="2"/>
        <v>9.674608435827782E-2</v>
      </c>
      <c r="AH25" s="11">
        <f t="shared" si="3"/>
        <v>274.50089001922032</v>
      </c>
    </row>
    <row r="26" spans="1:34" x14ac:dyDescent="0.25">
      <c r="I26" s="1"/>
      <c r="J26" s="1"/>
      <c r="O26" s="6">
        <f t="shared" si="18"/>
        <v>29</v>
      </c>
      <c r="P26" s="7">
        <f t="shared" si="16"/>
        <v>4.3872919818456882E-2</v>
      </c>
      <c r="Q26" s="8">
        <f t="shared" si="17"/>
        <v>2.850677811320582</v>
      </c>
      <c r="R26" s="8">
        <f t="shared" si="19"/>
        <v>9.5936692381041464</v>
      </c>
      <c r="S26" s="9">
        <f t="shared" si="5"/>
        <v>0.73199696286734628</v>
      </c>
      <c r="T26" s="9">
        <f t="shared" si="6"/>
        <v>4.3783470415718229E-2</v>
      </c>
      <c r="U26" s="8">
        <f t="shared" si="7"/>
        <v>0.74887540570019451</v>
      </c>
      <c r="V26" s="8">
        <f t="shared" si="0"/>
        <v>2.2235999999999998</v>
      </c>
      <c r="W26" s="8">
        <f t="shared" si="8"/>
        <v>0.11778832833536448</v>
      </c>
      <c r="X26" s="10">
        <f t="shared" si="9"/>
        <v>1.1693981412004031</v>
      </c>
      <c r="Y26" s="8">
        <f t="shared" si="10"/>
        <v>16.718568809578876</v>
      </c>
      <c r="Z26" s="9">
        <f t="shared" si="11"/>
        <v>0.73349242886200816</v>
      </c>
      <c r="AA26" s="11">
        <f t="shared" si="12"/>
        <v>4.2009183371617951</v>
      </c>
      <c r="AB26" s="11">
        <f t="shared" si="13"/>
        <v>346.14063420152439</v>
      </c>
      <c r="AC26" s="11">
        <f t="shared" si="20"/>
        <v>6.7178203233354861</v>
      </c>
      <c r="AD26" s="11">
        <f t="shared" si="21"/>
        <v>16.311489561439632</v>
      </c>
      <c r="AE26" s="89">
        <f t="shared" si="22"/>
        <v>0.11778832833536448</v>
      </c>
      <c r="AF26" s="8">
        <f t="shared" si="1"/>
        <v>1.3674920126429579</v>
      </c>
      <c r="AG26" s="9">
        <f t="shared" si="2"/>
        <v>8.8828379308030378E-2</v>
      </c>
      <c r="AH26" s="11">
        <f t="shared" si="3"/>
        <v>261.03699732653195</v>
      </c>
    </row>
    <row r="27" spans="1:34" x14ac:dyDescent="0.25">
      <c r="I27" s="1"/>
      <c r="J27" s="1"/>
      <c r="O27" s="6">
        <f t="shared" si="18"/>
        <v>30</v>
      </c>
      <c r="P27" s="7">
        <f t="shared" si="16"/>
        <v>4.5385779122541603E-2</v>
      </c>
      <c r="Q27" s="8">
        <f t="shared" si="17"/>
        <v>3.0506659098555571</v>
      </c>
      <c r="R27" s="8">
        <f t="shared" si="19"/>
        <v>8.9647509213839864</v>
      </c>
      <c r="S27" s="9">
        <f t="shared" si="5"/>
        <v>0.68401049530159808</v>
      </c>
      <c r="T27" s="9">
        <f t="shared" si="6"/>
        <v>4.0693627439479574E-2</v>
      </c>
      <c r="U27" s="8">
        <f t="shared" si="7"/>
        <v>0.74485597186789809</v>
      </c>
      <c r="V27" s="8">
        <f t="shared" si="0"/>
        <v>2.1993999999999998</v>
      </c>
      <c r="W27" s="8">
        <f t="shared" si="8"/>
        <v>0.11617647812079367</v>
      </c>
      <c r="X27" s="10">
        <f t="shared" si="9"/>
        <v>1.2097222150348996</v>
      </c>
      <c r="Y27" s="8">
        <f t="shared" si="10"/>
        <v>16.808786494123016</v>
      </c>
      <c r="Z27" s="9">
        <f t="shared" si="11"/>
        <v>0.76287987114022759</v>
      </c>
      <c r="AA27" s="11">
        <f t="shared" si="12"/>
        <v>5.2009183371617951</v>
      </c>
      <c r="AB27" s="11">
        <f t="shared" si="13"/>
        <v>353.17649348721272</v>
      </c>
      <c r="AC27" s="11">
        <f t="shared" si="20"/>
        <v>6.6267148945954135</v>
      </c>
      <c r="AD27" s="11">
        <f t="shared" si="21"/>
        <v>15.591465815979401</v>
      </c>
      <c r="AE27" s="89">
        <f t="shared" si="22"/>
        <v>0.11617647812079367</v>
      </c>
      <c r="AF27" s="8">
        <f t="shared" si="1"/>
        <v>1.463427837548944</v>
      </c>
      <c r="AG27" s="9">
        <f t="shared" si="2"/>
        <v>8.0667611113817442E-2</v>
      </c>
      <c r="AH27" s="11">
        <f t="shared" si="3"/>
        <v>245.22953778600504</v>
      </c>
    </row>
    <row r="28" spans="1:34" x14ac:dyDescent="0.25">
      <c r="A28" s="1" t="s">
        <v>52</v>
      </c>
      <c r="I28" s="1"/>
      <c r="J28" s="1"/>
      <c r="O28" s="6">
        <f t="shared" si="18"/>
        <v>31</v>
      </c>
      <c r="P28" s="7">
        <f t="shared" si="16"/>
        <v>4.6898638426626324E-2</v>
      </c>
      <c r="Q28" s="8">
        <f t="shared" si="17"/>
        <v>3.2574332659679892</v>
      </c>
      <c r="R28" s="8">
        <f t="shared" si="19"/>
        <v>8.3957084591525373</v>
      </c>
      <c r="S28" s="9">
        <f t="shared" si="5"/>
        <v>0.64059255543333848</v>
      </c>
      <c r="T28" s="9">
        <f t="shared" si="6"/>
        <v>3.8078414531902437E-2</v>
      </c>
      <c r="U28" s="8">
        <f t="shared" si="7"/>
        <v>0.74422736526922739</v>
      </c>
      <c r="V28" s="8">
        <f t="shared" si="0"/>
        <v>2.1747999999999998</v>
      </c>
      <c r="W28" s="8">
        <f t="shared" si="8"/>
        <v>0.11426184920124779</v>
      </c>
      <c r="X28" s="10">
        <f t="shared" si="9"/>
        <v>1.2500462888693964</v>
      </c>
      <c r="Y28" s="8">
        <f t="shared" si="10"/>
        <v>16.822983921682042</v>
      </c>
      <c r="Z28" s="9">
        <f t="shared" si="11"/>
        <v>0.78897504019991416</v>
      </c>
      <c r="AA28" s="11">
        <f t="shared" si="12"/>
        <v>6.2009183371617951</v>
      </c>
      <c r="AB28" s="11">
        <f t="shared" si="13"/>
        <v>358.93455562418637</v>
      </c>
      <c r="AC28" s="11">
        <f t="shared" si="20"/>
        <v>6.5184520086546023</v>
      </c>
      <c r="AD28" s="11">
        <f t="shared" si="21"/>
        <v>14.91416046780714</v>
      </c>
      <c r="AE28" s="89">
        <f t="shared" si="22"/>
        <v>0.11426184920124779</v>
      </c>
      <c r="AF28" s="8">
        <f t="shared" si="1"/>
        <v>1.5626157243161505</v>
      </c>
      <c r="AG28" s="9">
        <f t="shared" si="2"/>
        <v>7.2263779775638984E-2</v>
      </c>
      <c r="AH28" s="11">
        <f t="shared" si="3"/>
        <v>227.00462020187391</v>
      </c>
    </row>
    <row r="29" spans="1:34" x14ac:dyDescent="0.25">
      <c r="A29" s="1" t="s">
        <v>92</v>
      </c>
      <c r="B29" s="83">
        <f>EW</f>
        <v>3.03</v>
      </c>
      <c r="C29" s="1" t="s">
        <v>53</v>
      </c>
      <c r="D29" s="2" t="s">
        <v>239</v>
      </c>
      <c r="I29" s="1"/>
      <c r="J29" s="1"/>
      <c r="O29" s="6">
        <f t="shared" si="18"/>
        <v>32</v>
      </c>
      <c r="P29" s="7">
        <f t="shared" si="16"/>
        <v>4.8411497730711045E-2</v>
      </c>
      <c r="Q29" s="8">
        <f t="shared" si="17"/>
        <v>3.4709798796578788</v>
      </c>
      <c r="R29" s="8">
        <f t="shared" si="19"/>
        <v>7.8791756144976439</v>
      </c>
      <c r="S29" s="9">
        <f t="shared" si="5"/>
        <v>0.60118109938617015</v>
      </c>
      <c r="T29" s="9">
        <f t="shared" si="6"/>
        <v>3.5852968796303127E-2</v>
      </c>
      <c r="U29" s="8">
        <f t="shared" si="7"/>
        <v>0.74666959990781945</v>
      </c>
      <c r="V29" s="8">
        <f t="shared" si="0"/>
        <v>2.1497999999999999</v>
      </c>
      <c r="W29" s="8">
        <f t="shared" si="8"/>
        <v>0.11206999930848777</v>
      </c>
      <c r="X29" s="10">
        <f t="shared" si="9"/>
        <v>1.2903703627038932</v>
      </c>
      <c r="Y29" s="8">
        <f t="shared" si="10"/>
        <v>16.767958681518145</v>
      </c>
      <c r="Z29" s="9">
        <f t="shared" si="11"/>
        <v>0.81176199365897228</v>
      </c>
      <c r="AA29" s="11">
        <f t="shared" si="12"/>
        <v>7.2009183371617951</v>
      </c>
      <c r="AB29" s="11">
        <f t="shared" si="13"/>
        <v>363.40565109098964</v>
      </c>
      <c r="AC29" s="11">
        <f t="shared" si="20"/>
        <v>6.3944562624035939</v>
      </c>
      <c r="AD29" s="11">
        <f t="shared" si="21"/>
        <v>14.273631876901238</v>
      </c>
      <c r="AE29" s="89">
        <f t="shared" si="22"/>
        <v>0.11206999930848777</v>
      </c>
      <c r="AF29" s="8">
        <f t="shared" si="1"/>
        <v>1.6650556729445767</v>
      </c>
      <c r="AG29" s="9">
        <f t="shared" si="2"/>
        <v>6.3616885293494962E-2</v>
      </c>
      <c r="AH29" s="11">
        <f t="shared" si="3"/>
        <v>206.28835337837299</v>
      </c>
    </row>
    <row r="30" spans="1:34" x14ac:dyDescent="0.25">
      <c r="A30" s="1" t="s">
        <v>42</v>
      </c>
      <c r="B30" s="1">
        <f>B21</f>
        <v>3.4000000000000004</v>
      </c>
      <c r="C30" s="1" t="s">
        <v>53</v>
      </c>
      <c r="I30" s="1"/>
      <c r="J30" s="1"/>
      <c r="O30" s="6">
        <f t="shared" si="18"/>
        <v>33</v>
      </c>
      <c r="P30" s="7">
        <f t="shared" si="16"/>
        <v>4.9924357034795766E-2</v>
      </c>
      <c r="Q30" s="8">
        <f t="shared" si="17"/>
        <v>3.6913057509252245</v>
      </c>
      <c r="R30" s="8">
        <f t="shared" si="19"/>
        <v>7.408885058995029</v>
      </c>
      <c r="S30" s="9">
        <f t="shared" si="5"/>
        <v>0.56529793000132067</v>
      </c>
      <c r="T30" s="9">
        <f t="shared" si="6"/>
        <v>3.3949613705395079E-2</v>
      </c>
      <c r="U30" s="8">
        <f>IF(T30="","",Q30*T30*$P$13)</f>
        <v>0.75191042587448798</v>
      </c>
      <c r="V30" s="8">
        <f t="shared" si="0"/>
        <v>2.1243999999999996</v>
      </c>
      <c r="W30" s="8">
        <f t="shared" si="8"/>
        <v>0.10962267342582535</v>
      </c>
      <c r="X30" s="10">
        <f t="shared" si="9"/>
        <v>1.3306944365383897</v>
      </c>
      <c r="Y30" s="8">
        <f t="shared" si="10"/>
        <v>16.651085779850472</v>
      </c>
      <c r="Z30" s="9">
        <f t="shared" si="11"/>
        <v>0.83129475149026566</v>
      </c>
      <c r="AA30" s="11">
        <f t="shared" si="12"/>
        <v>8.2009183371617951</v>
      </c>
      <c r="AB30" s="11">
        <f t="shared" si="13"/>
        <v>366.57821993595996</v>
      </c>
      <c r="AC30" s="11">
        <f t="shared" si="20"/>
        <v>6.2559368594910394</v>
      </c>
      <c r="AD30" s="11">
        <f t="shared" si="21"/>
        <v>13.664821918486069</v>
      </c>
      <c r="AE30" s="89">
        <f t="shared" si="22"/>
        <v>0.10962267342582535</v>
      </c>
      <c r="AF30" s="8">
        <f t="shared" si="1"/>
        <v>1.7707476834342224</v>
      </c>
      <c r="AG30" s="9">
        <f t="shared" si="2"/>
        <v>5.4726927667385405E-2</v>
      </c>
      <c r="AH30" s="11">
        <f t="shared" si="3"/>
        <v>183.00684611973682</v>
      </c>
    </row>
    <row r="31" spans="1:34" x14ac:dyDescent="0.25">
      <c r="A31" s="1" t="s">
        <v>57</v>
      </c>
      <c r="B31" s="1">
        <f>'Aircraft Dimensions'!C2</f>
        <v>52</v>
      </c>
      <c r="I31" s="1"/>
      <c r="J31" s="1"/>
      <c r="O31" s="6">
        <f t="shared" si="18"/>
        <v>34</v>
      </c>
      <c r="P31" s="7">
        <f t="shared" si="16"/>
        <v>5.1437216338880487E-2</v>
      </c>
      <c r="Q31" s="8">
        <f t="shared" si="17"/>
        <v>3.9184108797700272</v>
      </c>
      <c r="R31" s="8">
        <f t="shared" si="19"/>
        <v>6.9794773609390885</v>
      </c>
      <c r="S31" s="9">
        <f t="shared" si="5"/>
        <v>0.53253412263965239</v>
      </c>
      <c r="T31" s="9">
        <f t="shared" si="6"/>
        <v>3.2313993912035405E-2</v>
      </c>
      <c r="U31" s="8">
        <f t="shared" si="7"/>
        <v>0.75971703188245165</v>
      </c>
      <c r="V31" s="8">
        <f t="shared" si="0"/>
        <v>2.0985999999999998</v>
      </c>
      <c r="W31" s="8">
        <f t="shared" si="8"/>
        <v>0.10693846651830938</v>
      </c>
      <c r="X31" s="10">
        <f t="shared" si="9"/>
        <v>1.3710185103728865</v>
      </c>
      <c r="Y31" s="8">
        <f t="shared" si="10"/>
        <v>16.47998461871682</v>
      </c>
      <c r="Z31" s="9">
        <f t="shared" si="11"/>
        <v>0.84768453409435995</v>
      </c>
      <c r="AA31" s="11">
        <f t="shared" si="12"/>
        <v>9.2009183371617951</v>
      </c>
      <c r="AB31" s="11">
        <f t="shared" si="13"/>
        <v>368.43866331108188</v>
      </c>
      <c r="AC31" s="11">
        <f t="shared" si="20"/>
        <v>6.1039255041656428</v>
      </c>
      <c r="AD31" s="11">
        <f t="shared" si="21"/>
        <v>13.08340286510473</v>
      </c>
      <c r="AE31" s="89">
        <f t="shared" si="22"/>
        <v>0.10693846651830938</v>
      </c>
      <c r="AF31" s="8">
        <f t="shared" si="1"/>
        <v>1.8796917557850885</v>
      </c>
      <c r="AG31" s="9">
        <f t="shared" si="2"/>
        <v>4.5593906897310375E-2</v>
      </c>
      <c r="AH31" s="11">
        <f t="shared" si="3"/>
        <v>157.08620723020002</v>
      </c>
    </row>
    <row r="32" spans="1:34" x14ac:dyDescent="0.25">
      <c r="A32" s="1" t="s">
        <v>59</v>
      </c>
      <c r="B32" s="1">
        <f>'Aircraft Dimensions'!P2</f>
        <v>1.2585</v>
      </c>
      <c r="C32" s="1" t="s">
        <v>58</v>
      </c>
      <c r="I32" s="1"/>
      <c r="J32" s="1"/>
      <c r="O32" s="6">
        <f t="shared" si="18"/>
        <v>35</v>
      </c>
      <c r="P32" s="7">
        <f t="shared" si="16"/>
        <v>5.2950075642965201E-2</v>
      </c>
      <c r="Q32" s="8">
        <f t="shared" si="17"/>
        <v>4.1522952661922865</v>
      </c>
      <c r="R32" s="8">
        <f t="shared" si="19"/>
        <v>6.5863476157106842</v>
      </c>
      <c r="S32" s="9">
        <f t="shared" si="5"/>
        <v>0.50253832307872515</v>
      </c>
      <c r="T32" s="9">
        <f t="shared" si="6"/>
        <v>3.0902161078168715E-2</v>
      </c>
      <c r="U32" s="8">
        <f t="shared" si="7"/>
        <v>0.76988938295994891</v>
      </c>
      <c r="V32" s="8">
        <f t="shared" si="0"/>
        <v>2.0724</v>
      </c>
      <c r="W32" s="8">
        <f t="shared" si="8"/>
        <v>0.10403335566059053</v>
      </c>
      <c r="X32" s="10">
        <f t="shared" si="9"/>
        <v>1.411342584207383</v>
      </c>
      <c r="Y32" s="8">
        <f t="shared" si="10"/>
        <v>16.262238806131609</v>
      </c>
      <c r="Z32" s="9">
        <f t="shared" si="11"/>
        <v>0.86108677490863283</v>
      </c>
      <c r="AA32" s="11">
        <f t="shared" si="12"/>
        <v>10.200918337161795</v>
      </c>
      <c r="AB32" s="11">
        <f t="shared" si="13"/>
        <v>368.97163474289442</v>
      </c>
      <c r="AC32" s="11">
        <f t="shared" si="20"/>
        <v>5.9393067818759979</v>
      </c>
      <c r="AD32" s="11">
        <f t="shared" si="21"/>
        <v>12.525654397586681</v>
      </c>
      <c r="AE32" s="89">
        <f t="shared" si="22"/>
        <v>0.10403335566059053</v>
      </c>
      <c r="AF32" s="8">
        <f t="shared" si="1"/>
        <v>1.9918878899971739</v>
      </c>
      <c r="AG32" s="9">
        <f t="shared" si="2"/>
        <v>3.6217822983269823E-2</v>
      </c>
      <c r="AH32" s="11">
        <f t="shared" si="3"/>
        <v>128.45254551399699</v>
      </c>
    </row>
    <row r="33" spans="1:34" ht="15.75" thickBot="1" x14ac:dyDescent="0.3">
      <c r="A33" s="1" t="s">
        <v>60</v>
      </c>
      <c r="B33" s="1">
        <f>'Aircraft Dimensions'!F2</f>
        <v>4</v>
      </c>
      <c r="I33" s="1"/>
      <c r="J33" s="1"/>
      <c r="O33" s="6">
        <f t="shared" si="18"/>
        <v>36</v>
      </c>
      <c r="P33" s="7">
        <f t="shared" si="16"/>
        <v>5.4462934947049922E-2</v>
      </c>
      <c r="Q33" s="8">
        <f t="shared" si="17"/>
        <v>4.3929589101920019</v>
      </c>
      <c r="R33" s="8">
        <f t="shared" si="19"/>
        <v>6.2255214731833242</v>
      </c>
      <c r="S33" s="9">
        <f t="shared" si="5"/>
        <v>0.47500728840388762</v>
      </c>
      <c r="T33" s="9">
        <f t="shared" si="6"/>
        <v>2.9678357690454765E-2</v>
      </c>
      <c r="U33" s="8">
        <f t="shared" si="7"/>
        <v>0.78225483513689142</v>
      </c>
      <c r="V33" s="8">
        <f t="shared" si="0"/>
        <v>2.0457999999999998</v>
      </c>
      <c r="W33" s="8">
        <f t="shared" si="8"/>
        <v>0.10092113016947582</v>
      </c>
      <c r="X33" s="10">
        <f t="shared" si="9"/>
        <v>1.4516666580418796</v>
      </c>
      <c r="Y33" s="8">
        <f t="shared" si="10"/>
        <v>16.005174321241526</v>
      </c>
      <c r="Z33" s="9">
        <f t="shared" si="11"/>
        <v>0.87168876787397109</v>
      </c>
      <c r="AA33" s="11">
        <f t="shared" si="12"/>
        <v>11.200918337161795</v>
      </c>
      <c r="AB33" s="11">
        <f t="shared" si="13"/>
        <v>368.1602828582478</v>
      </c>
      <c r="AC33" s="11">
        <f t="shared" si="20"/>
        <v>5.7628426856181516</v>
      </c>
      <c r="AD33" s="11">
        <f t="shared" si="21"/>
        <v>11.988364158801476</v>
      </c>
      <c r="AE33" s="89">
        <f t="shared" si="22"/>
        <v>0.10092113016947582</v>
      </c>
      <c r="AF33" s="8">
        <f t="shared" si="1"/>
        <v>2.1073360860704793</v>
      </c>
      <c r="AG33" s="9">
        <f t="shared" si="2"/>
        <v>2.6598675925263739E-2</v>
      </c>
      <c r="AH33" s="11">
        <f t="shared" si="3"/>
        <v>97.031969775362114</v>
      </c>
    </row>
    <row r="34" spans="1:34" ht="16.5" thickTop="1" thickBot="1" x14ac:dyDescent="0.3">
      <c r="A34" s="1" t="s">
        <v>61</v>
      </c>
      <c r="B34" s="1">
        <f>'Aircraft Dimensions'!P3</f>
        <v>8</v>
      </c>
      <c r="C34" s="1" t="s">
        <v>58</v>
      </c>
      <c r="F34" s="30" t="s">
        <v>39</v>
      </c>
      <c r="G34" s="31">
        <v>-1E-4</v>
      </c>
      <c r="H34" t="s">
        <v>45</v>
      </c>
      <c r="I34" s="1"/>
      <c r="J34" s="1"/>
      <c r="O34" s="6">
        <f t="shared" si="18"/>
        <v>37</v>
      </c>
      <c r="P34" s="7">
        <f t="shared" si="16"/>
        <v>5.5975794251134643E-2</v>
      </c>
      <c r="Q34" s="8">
        <f t="shared" si="17"/>
        <v>4.6404018117691752</v>
      </c>
      <c r="R34" s="8">
        <f t="shared" si="19"/>
        <v>5.8935542945548489</v>
      </c>
      <c r="S34" s="9">
        <f t="shared" si="5"/>
        <v>0.44967819267453496</v>
      </c>
      <c r="T34" s="9">
        <f t="shared" si="6"/>
        <v>2.8613317954591815E-2</v>
      </c>
      <c r="U34" s="8">
        <f t="shared" si="7"/>
        <v>0.79666375486329188</v>
      </c>
      <c r="V34" s="8">
        <f t="shared" si="0"/>
        <v>2.0187999999999997</v>
      </c>
      <c r="W34" s="8">
        <f t="shared" si="8"/>
        <v>9.7613741487142316E-2</v>
      </c>
      <c r="X34" s="10">
        <f t="shared" si="9"/>
        <v>1.4919907318763763</v>
      </c>
      <c r="Y34" s="8">
        <f t="shared" si="10"/>
        <v>15.715695515918712</v>
      </c>
      <c r="Z34" s="9">
        <f t="shared" si="11"/>
        <v>0.87969853871254511</v>
      </c>
      <c r="AA34" s="11">
        <f t="shared" si="12"/>
        <v>12.200918337161795</v>
      </c>
      <c r="AB34" s="11">
        <f t="shared" si="13"/>
        <v>365.98645474912558</v>
      </c>
      <c r="AC34" s="11">
        <f t="shared" si="20"/>
        <v>5.5751925462329259</v>
      </c>
      <c r="AD34" s="11">
        <f t="shared" si="21"/>
        <v>11.468746840787775</v>
      </c>
      <c r="AE34" s="89">
        <f t="shared" si="22"/>
        <v>9.7613741487142316E-2</v>
      </c>
      <c r="AF34" s="8">
        <f t="shared" si="1"/>
        <v>2.2260363440050051</v>
      </c>
      <c r="AG34" s="9">
        <f t="shared" si="2"/>
        <v>1.6736465723292081E-2</v>
      </c>
      <c r="AH34" s="11">
        <f t="shared" si="3"/>
        <v>62.750588818529778</v>
      </c>
    </row>
    <row r="35" spans="1:34" ht="16.5" thickTop="1" thickBot="1" x14ac:dyDescent="0.3">
      <c r="F35" s="30" t="s">
        <v>40</v>
      </c>
      <c r="G35" s="30">
        <v>-6.1999999999999998E-3</v>
      </c>
      <c r="H35" t="s">
        <v>46</v>
      </c>
      <c r="I35" s="1"/>
      <c r="J35" s="1"/>
      <c r="O35" s="6">
        <f t="shared" si="18"/>
        <v>38</v>
      </c>
      <c r="P35" s="7">
        <f t="shared" si="16"/>
        <v>5.7488653555219364E-2</v>
      </c>
      <c r="Q35" s="8">
        <f t="shared" si="17"/>
        <v>4.8946239709238055</v>
      </c>
      <c r="R35" s="8">
        <f t="shared" si="19"/>
        <v>5.5874486352116257</v>
      </c>
      <c r="S35" s="9">
        <f t="shared" si="5"/>
        <v>0.426322330866647</v>
      </c>
      <c r="T35" s="9">
        <f t="shared" si="6"/>
        <v>2.7682955126949203E-2</v>
      </c>
      <c r="U35" s="8">
        <f t="shared" si="7"/>
        <v>0.81298593450224166</v>
      </c>
      <c r="V35" s="8">
        <f t="shared" si="0"/>
        <v>1.9913999999999998</v>
      </c>
      <c r="W35" s="8">
        <f t="shared" si="8"/>
        <v>9.4121589480756634E-2</v>
      </c>
      <c r="X35" s="10">
        <f t="shared" si="9"/>
        <v>1.5323148057108731</v>
      </c>
      <c r="Y35" s="8">
        <f t="shared" si="10"/>
        <v>15.400174183413842</v>
      </c>
      <c r="Z35" s="9">
        <f t="shared" si="11"/>
        <v>0.88533527832031167</v>
      </c>
      <c r="AA35" s="11">
        <f t="shared" si="12"/>
        <v>13.200918337161795</v>
      </c>
      <c r="AB35" s="11">
        <f t="shared" si="13"/>
        <v>362.43086722723353</v>
      </c>
      <c r="AC35" s="11">
        <f t="shared" si="20"/>
        <v>5.3769293287635334</v>
      </c>
      <c r="AD35" s="11">
        <f t="shared" si="21"/>
        <v>10.96437796397516</v>
      </c>
      <c r="AE35" s="89">
        <f t="shared" si="22"/>
        <v>9.4121589480756634E-2</v>
      </c>
      <c r="AF35" s="8">
        <f t="shared" si="1"/>
        <v>2.3479886638007508</v>
      </c>
      <c r="AG35" s="9">
        <f t="shared" si="2"/>
        <v>6.6311923773549435E-3</v>
      </c>
      <c r="AH35" s="11">
        <f t="shared" si="3"/>
        <v>25.534511447734769</v>
      </c>
    </row>
    <row r="36" spans="1:34" ht="16.5" thickTop="1" thickBot="1" x14ac:dyDescent="0.3">
      <c r="F36" s="30" t="s">
        <v>41</v>
      </c>
      <c r="G36" s="30">
        <v>1.3756999999999999</v>
      </c>
      <c r="I36" s="1"/>
      <c r="J36" s="1"/>
      <c r="O36" s="6">
        <f t="shared" si="18"/>
        <v>39</v>
      </c>
      <c r="P36" s="7">
        <f t="shared" ref="P36:P42" si="23">O36/661</f>
        <v>5.9001512859304085E-2</v>
      </c>
      <c r="Q36" s="8">
        <f t="shared" ref="Q36:Q42" si="24">1481*P36^2</f>
        <v>5.155625387655892</v>
      </c>
      <c r="R36" s="8">
        <f t="shared" si="19"/>
        <v>5.3045863440141927</v>
      </c>
      <c r="S36" s="9">
        <f t="shared" ref="S36:S42" si="25">IF(X36&lt;1,"",$P$10/Q36/$P$13)</f>
        <v>0.40473993804828284</v>
      </c>
      <c r="T36" s="9">
        <f t="shared" ref="T36:T42" si="26">IF(X36&lt;1,"",S36^2/(PI()*$P$12)+$P$11)</f>
        <v>2.6867340049684503E-2</v>
      </c>
      <c r="U36" s="8">
        <f t="shared" ref="U36:U42" si="27">IF(T36="","",Q36*T36*$P$13)</f>
        <v>0.83110764275362403</v>
      </c>
      <c r="V36" s="8">
        <f t="shared" si="0"/>
        <v>1.9635999999999998</v>
      </c>
      <c r="W36" s="8">
        <f t="shared" ref="W36:W42" si="28">IF(T36="","",(V36-U36)/$P$10)</f>
        <v>9.0453758029282905E-2</v>
      </c>
      <c r="X36" s="10">
        <f t="shared" ref="X36:X42" si="29">P36/$V$9</f>
        <v>1.5726388795453696</v>
      </c>
      <c r="Y36" s="8">
        <f t="shared" ref="Y36:Y42" si="30">IF(X36&lt;1,"",S36/T36)</f>
        <v>15.064384390111428</v>
      </c>
      <c r="Z36" s="9">
        <f t="shared" ref="Z36:Z42" si="31">IF(X36&lt;1,"",Y36*P36)</f>
        <v>0.8888214693106592</v>
      </c>
      <c r="AA36" s="11">
        <f t="shared" ref="AA36:AA42" si="32">O36-$V$10</f>
        <v>14.200918337161795</v>
      </c>
      <c r="AB36" s="11">
        <f t="shared" ref="AB36:AB42" si="33">IF(X36&lt;1,"",W36*O36/60*6080)</f>
        <v>357.47325173172601</v>
      </c>
      <c r="AC36" s="11">
        <f t="shared" si="20"/>
        <v>5.1685530362959433</v>
      </c>
      <c r="AD36" s="11">
        <f t="shared" si="21"/>
        <v>10.473139380310137</v>
      </c>
      <c r="AE36" s="89">
        <f t="shared" si="22"/>
        <v>9.0453758029282905E-2</v>
      </c>
      <c r="AF36" s="8">
        <f t="shared" ref="AF36:AF42" si="34">IF(X36&lt;1,"",X36^2)</f>
        <v>2.4731930454577156</v>
      </c>
      <c r="AG36" s="9">
        <f t="shared" ref="AG36:AG42" si="35">IF(X36&lt;1,"",(V36-(Q36*$P$13*($P$11+$P$8^2/(PI()*$P$12))))/$P$10)</f>
        <v>-3.717144112547731E-3</v>
      </c>
      <c r="AH36" s="11">
        <f t="shared" ref="AH36:AH42" si="36">IF(X36&lt;1,"",AG36*O36*6080/60)</f>
        <v>-14.690153532788633</v>
      </c>
    </row>
    <row r="37" spans="1:34" ht="15.75" thickTop="1" x14ac:dyDescent="0.25">
      <c r="I37" s="1"/>
      <c r="J37" s="1"/>
      <c r="O37" s="6">
        <f t="shared" si="18"/>
        <v>40</v>
      </c>
      <c r="P37" s="7">
        <f t="shared" si="23"/>
        <v>6.0514372163388806E-2</v>
      </c>
      <c r="Q37" s="8">
        <f t="shared" si="24"/>
        <v>5.4234060619654354</v>
      </c>
      <c r="R37" s="8">
        <f t="shared" si="19"/>
        <v>5.042672393278492</v>
      </c>
      <c r="S37" s="9">
        <f t="shared" si="25"/>
        <v>0.3847559036071489</v>
      </c>
      <c r="T37" s="9">
        <f t="shared" si="26"/>
        <v>2.6149900847413005E-2</v>
      </c>
      <c r="U37" s="8">
        <f t="shared" si="27"/>
        <v>0.85092918465392864</v>
      </c>
      <c r="V37" s="8">
        <f t="shared" si="0"/>
        <v>1.9353999999999998</v>
      </c>
      <c r="W37" s="8">
        <f t="shared" si="28"/>
        <v>8.6618209909731028E-2</v>
      </c>
      <c r="X37" s="10">
        <f t="shared" si="29"/>
        <v>1.6129629533798664</v>
      </c>
      <c r="Y37" s="8">
        <f t="shared" si="30"/>
        <v>14.713474664865224</v>
      </c>
      <c r="Z37" s="9">
        <f t="shared" si="31"/>
        <v>0.89037668168624651</v>
      </c>
      <c r="AA37" s="11">
        <f t="shared" si="32"/>
        <v>15.200918337161795</v>
      </c>
      <c r="AB37" s="11">
        <f t="shared" si="33"/>
        <v>351.09247750077645</v>
      </c>
      <c r="AC37" s="11">
        <f t="shared" si="20"/>
        <v>4.9505017968364013</v>
      </c>
      <c r="AD37" s="11">
        <f t="shared" si="21"/>
        <v>9.9931741901148925</v>
      </c>
      <c r="AE37" s="89">
        <f t="shared" si="22"/>
        <v>8.6618209909731028E-2</v>
      </c>
      <c r="AF37" s="8">
        <f t="shared" si="34"/>
        <v>2.6016494889759012</v>
      </c>
      <c r="AG37" s="9">
        <f t="shared" si="35"/>
        <v>-1.4308543746415941E-2</v>
      </c>
      <c r="AH37" s="11">
        <f t="shared" si="36"/>
        <v>-57.997297318805948</v>
      </c>
    </row>
    <row r="38" spans="1:34" x14ac:dyDescent="0.25">
      <c r="A38" s="1" t="s">
        <v>54</v>
      </c>
      <c r="B38" s="1">
        <f>B29+B30</f>
        <v>6.43</v>
      </c>
      <c r="C38" s="1" t="s">
        <v>53</v>
      </c>
      <c r="I38" s="1"/>
      <c r="J38" s="1"/>
      <c r="O38" s="6">
        <f t="shared" si="18"/>
        <v>41</v>
      </c>
      <c r="P38" s="7">
        <f t="shared" si="23"/>
        <v>6.2027231467473527E-2</v>
      </c>
      <c r="Q38" s="8">
        <f t="shared" si="24"/>
        <v>5.6979659938524359</v>
      </c>
      <c r="R38" s="8">
        <f t="shared" si="19"/>
        <v>4.7996881792061785</v>
      </c>
      <c r="S38" s="9">
        <f t="shared" si="25"/>
        <v>0.36621620807343142</v>
      </c>
      <c r="T38" s="9">
        <f t="shared" si="26"/>
        <v>2.5516791837335327E-2</v>
      </c>
      <c r="U38" s="8">
        <f t="shared" si="27"/>
        <v>0.87236287296808868</v>
      </c>
      <c r="V38" s="8">
        <f t="shared" si="0"/>
        <v>1.9067999999999998</v>
      </c>
      <c r="W38" s="8">
        <f t="shared" si="28"/>
        <v>8.2621948824944738E-2</v>
      </c>
      <c r="X38" s="10">
        <f t="shared" si="29"/>
        <v>1.6532870272143629</v>
      </c>
      <c r="Y38" s="8">
        <f t="shared" si="30"/>
        <v>14.351969103639274</v>
      </c>
      <c r="Z38" s="9">
        <f t="shared" si="31"/>
        <v>0.89021290960546173</v>
      </c>
      <c r="AA38" s="11">
        <f t="shared" si="32"/>
        <v>16.200918337161795</v>
      </c>
      <c r="AB38" s="11">
        <f t="shared" si="33"/>
        <v>343.2666567180371</v>
      </c>
      <c r="AC38" s="11">
        <f t="shared" si="20"/>
        <v>4.7231610831239479</v>
      </c>
      <c r="AD38" s="11">
        <f t="shared" si="21"/>
        <v>9.5228492623301264</v>
      </c>
      <c r="AE38" s="89">
        <f t="shared" si="22"/>
        <v>8.2621948824944738E-2</v>
      </c>
      <c r="AF38" s="8">
        <f t="shared" si="34"/>
        <v>2.7333579943553055</v>
      </c>
      <c r="AG38" s="9">
        <f t="shared" si="35"/>
        <v>-2.514300652424967E-2</v>
      </c>
      <c r="AH38" s="11">
        <f t="shared" si="36"/>
        <v>-104.46081110608263</v>
      </c>
    </row>
    <row r="39" spans="1:34" x14ac:dyDescent="0.25">
      <c r="A39" s="1" t="s">
        <v>55</v>
      </c>
      <c r="B39" s="1">
        <f>B38+B31*B32/16</f>
        <v>10.520125</v>
      </c>
      <c r="C39" s="1" t="s">
        <v>53</v>
      </c>
      <c r="I39" s="1"/>
      <c r="J39" s="1"/>
      <c r="O39" s="6">
        <f t="shared" si="18"/>
        <v>42</v>
      </c>
      <c r="P39" s="7">
        <f t="shared" si="23"/>
        <v>6.3540090771558241E-2</v>
      </c>
      <c r="Q39" s="8">
        <f t="shared" si="24"/>
        <v>5.9793051833168924</v>
      </c>
      <c r="R39" s="8">
        <f t="shared" si="19"/>
        <v>4.5738525109101973</v>
      </c>
      <c r="S39" s="9">
        <f t="shared" si="25"/>
        <v>0.348984946582448</v>
      </c>
      <c r="T39" s="9">
        <f t="shared" si="26"/>
        <v>2.4956392817137414E-2</v>
      </c>
      <c r="U39" s="8">
        <f t="shared" si="27"/>
        <v>0.89533133357041328</v>
      </c>
      <c r="V39" s="8">
        <f t="shared" si="0"/>
        <v>1.8777999999999999</v>
      </c>
      <c r="W39" s="8">
        <f t="shared" si="28"/>
        <v>7.8471154755211034E-2</v>
      </c>
      <c r="X39" s="10">
        <f t="shared" si="29"/>
        <v>1.6936111010488595</v>
      </c>
      <c r="Y39" s="8">
        <f t="shared" si="30"/>
        <v>13.983789610123543</v>
      </c>
      <c r="Z39" s="9">
        <f t="shared" si="31"/>
        <v>0.88853126115762293</v>
      </c>
      <c r="AA39" s="11">
        <f t="shared" si="32"/>
        <v>17.200918337161795</v>
      </c>
      <c r="AB39" s="11">
        <f t="shared" si="33"/>
        <v>333.97323463817816</v>
      </c>
      <c r="AC39" s="11">
        <f t="shared" si="20"/>
        <v>4.4868714193657953</v>
      </c>
      <c r="AD39" s="11">
        <f t="shared" si="21"/>
        <v>9.0607239302759925</v>
      </c>
      <c r="AE39" s="89">
        <f t="shared" si="22"/>
        <v>7.8471154755211034E-2</v>
      </c>
      <c r="AF39" s="8">
        <f t="shared" si="34"/>
        <v>2.8683185615959301</v>
      </c>
      <c r="AG39" s="9">
        <f t="shared" si="35"/>
        <v>-3.622053244604892E-2</v>
      </c>
      <c r="AH39" s="11">
        <f t="shared" si="36"/>
        <v>-154.15458609038421</v>
      </c>
    </row>
    <row r="40" spans="1:34" x14ac:dyDescent="0.25">
      <c r="A40" s="1" t="s">
        <v>56</v>
      </c>
      <c r="B40" s="1">
        <f>B31*B32/16+B38+B33*B34/16</f>
        <v>12.520125</v>
      </c>
      <c r="C40" s="1" t="s">
        <v>53</v>
      </c>
      <c r="D40" s="78" t="s">
        <v>157</v>
      </c>
      <c r="I40" s="1"/>
      <c r="J40" s="1"/>
      <c r="O40" s="6">
        <f t="shared" si="18"/>
        <v>43</v>
      </c>
      <c r="P40" s="7">
        <f t="shared" si="23"/>
        <v>6.5052950075642962E-2</v>
      </c>
      <c r="Q40" s="8">
        <f t="shared" si="24"/>
        <v>6.267423630358806</v>
      </c>
      <c r="R40" s="8">
        <f t="shared" si="19"/>
        <v>4.3635888746595928</v>
      </c>
      <c r="S40" s="9">
        <f t="shared" si="25"/>
        <v>0.33294183113652692</v>
      </c>
      <c r="T40" s="9">
        <f t="shared" si="26"/>
        <v>2.4458909478182411E-2</v>
      </c>
      <c r="U40" s="8">
        <f t="shared" si="27"/>
        <v>0.91976608341820454</v>
      </c>
      <c r="V40" s="8">
        <f t="shared" si="0"/>
        <v>1.8483999999999998</v>
      </c>
      <c r="W40" s="8">
        <f t="shared" si="28"/>
        <v>7.417129753750823E-2</v>
      </c>
      <c r="X40" s="10">
        <f t="shared" si="29"/>
        <v>1.7339351748833562</v>
      </c>
      <c r="Y40" s="8">
        <f t="shared" si="30"/>
        <v>13.612292544502621</v>
      </c>
      <c r="Z40" s="9">
        <f t="shared" si="31"/>
        <v>0.88551978731257586</v>
      </c>
      <c r="AA40" s="11">
        <f t="shared" si="32"/>
        <v>18.200918337161795</v>
      </c>
      <c r="AB40" s="11">
        <f t="shared" si="33"/>
        <v>323.18906713676921</v>
      </c>
      <c r="AC40" s="11">
        <f t="shared" si="20"/>
        <v>4.2419348551548595</v>
      </c>
      <c r="AD40" s="11">
        <f t="shared" si="21"/>
        <v>8.6055237298144522</v>
      </c>
      <c r="AE40" s="89">
        <f t="shared" si="22"/>
        <v>7.417129753750823E-2</v>
      </c>
      <c r="AF40" s="8">
        <f t="shared" si="34"/>
        <v>3.0065311906977752</v>
      </c>
      <c r="AG40" s="9">
        <f t="shared" si="35"/>
        <v>-4.7541121511813701E-2</v>
      </c>
      <c r="AH40" s="11">
        <f t="shared" si="36"/>
        <v>-207.15251346747624</v>
      </c>
    </row>
    <row r="41" spans="1:34" x14ac:dyDescent="0.25">
      <c r="D41" s="78"/>
      <c r="I41" s="1"/>
      <c r="J41" s="1"/>
      <c r="O41" s="6">
        <f t="shared" si="18"/>
        <v>44</v>
      </c>
      <c r="P41" s="7">
        <f t="shared" si="23"/>
        <v>6.6565809379727683E-2</v>
      </c>
      <c r="Q41" s="8">
        <f t="shared" si="24"/>
        <v>6.5623213349781757</v>
      </c>
      <c r="R41" s="8">
        <f t="shared" si="19"/>
        <v>4.1674978456847045</v>
      </c>
      <c r="S41" s="9">
        <f t="shared" si="25"/>
        <v>0.31798008562574293</v>
      </c>
      <c r="T41" s="9">
        <f t="shared" si="26"/>
        <v>2.4016052751862839E-2</v>
      </c>
      <c r="U41" s="8">
        <f t="shared" si="27"/>
        <v>0.945606332133065</v>
      </c>
      <c r="V41" s="8">
        <f t="shared" si="0"/>
        <v>1.8185999999999998</v>
      </c>
      <c r="W41" s="8">
        <f t="shared" si="28"/>
        <v>6.9727232584893106E-2</v>
      </c>
      <c r="X41" s="10">
        <f t="shared" si="29"/>
        <v>1.7742592487178528</v>
      </c>
      <c r="Y41" s="8">
        <f t="shared" si="30"/>
        <v>13.240314256100156</v>
      </c>
      <c r="Z41" s="9">
        <f t="shared" si="31"/>
        <v>0.88135223489925396</v>
      </c>
      <c r="AA41" s="11">
        <f t="shared" si="32"/>
        <v>19.200918337161795</v>
      </c>
      <c r="AB41" s="11">
        <f t="shared" si="33"/>
        <v>310.89048768517671</v>
      </c>
      <c r="AC41" s="11">
        <f t="shared" si="20"/>
        <v>3.9886204297672507</v>
      </c>
      <c r="AD41" s="11">
        <f t="shared" si="21"/>
        <v>8.1561182754519557</v>
      </c>
      <c r="AE41" s="89">
        <f t="shared" si="22"/>
        <v>6.9727232584893106E-2</v>
      </c>
      <c r="AF41" s="8">
        <f t="shared" si="34"/>
        <v>3.1479958816608393</v>
      </c>
      <c r="AG41" s="9">
        <f t="shared" si="35"/>
        <v>-5.910477372154397E-2</v>
      </c>
      <c r="AH41" s="11">
        <f t="shared" si="36"/>
        <v>-263.52848443312405</v>
      </c>
    </row>
    <row r="42" spans="1:34" x14ac:dyDescent="0.25">
      <c r="I42" s="1"/>
      <c r="J42" s="1"/>
      <c r="O42" s="6">
        <f t="shared" si="18"/>
        <v>45</v>
      </c>
      <c r="P42" s="7">
        <f t="shared" si="23"/>
        <v>6.8078668683812404E-2</v>
      </c>
      <c r="Q42" s="8">
        <f t="shared" si="24"/>
        <v>6.8639982971750042</v>
      </c>
      <c r="R42" s="8">
        <f t="shared" si="19"/>
        <v>3.9843337428373271</v>
      </c>
      <c r="S42" s="9">
        <f t="shared" si="25"/>
        <v>0.30400466457848802</v>
      </c>
      <c r="T42" s="9">
        <f t="shared" si="26"/>
        <v>2.3620780138457517E-2</v>
      </c>
      <c r="U42" s="8">
        <f t="shared" si="27"/>
        <v>0.97279796788990547</v>
      </c>
      <c r="V42" s="8">
        <f t="shared" si="0"/>
        <v>1.7883999999999998</v>
      </c>
      <c r="W42" s="8">
        <f t="shared" si="28"/>
        <v>6.5143281884972731E-2</v>
      </c>
      <c r="X42" s="10">
        <f t="shared" si="29"/>
        <v>1.8145833225523496</v>
      </c>
      <c r="Y42" s="8">
        <f t="shared" si="30"/>
        <v>12.870221169517228</v>
      </c>
      <c r="Z42" s="9">
        <f t="shared" si="31"/>
        <v>0.8761875228869519</v>
      </c>
      <c r="AA42" s="11">
        <f t="shared" si="32"/>
        <v>20.200918337161795</v>
      </c>
      <c r="AB42" s="11">
        <f t="shared" si="33"/>
        <v>297.05336539547568</v>
      </c>
      <c r="AC42" s="11">
        <f t="shared" si="20"/>
        <v>3.7271688055900758</v>
      </c>
      <c r="AD42" s="11">
        <f t="shared" si="21"/>
        <v>7.7115025484274025</v>
      </c>
      <c r="AE42" s="89">
        <f t="shared" si="22"/>
        <v>6.5143281884972731E-2</v>
      </c>
      <c r="AF42" s="8">
        <f t="shared" si="34"/>
        <v>3.2927126344851243</v>
      </c>
      <c r="AG42" s="9">
        <f t="shared" si="35"/>
        <v>-7.0911489075239822E-2</v>
      </c>
      <c r="AH42" s="11">
        <f t="shared" si="36"/>
        <v>-323.35639018309359</v>
      </c>
    </row>
    <row r="43" spans="1:34" x14ac:dyDescent="0.25">
      <c r="A43" s="1" t="s">
        <v>62</v>
      </c>
      <c r="B43" s="1">
        <f>J12</f>
        <v>57</v>
      </c>
      <c r="C43" s="1" t="s">
        <v>49</v>
      </c>
      <c r="I43" s="1"/>
      <c r="J43" s="1"/>
      <c r="O43" s="6">
        <f t="shared" si="18"/>
        <v>46</v>
      </c>
      <c r="P43" s="7">
        <f t="shared" ref="P43:P66" si="37">O43/661</f>
        <v>6.9591527987897125E-2</v>
      </c>
      <c r="Q43" s="8">
        <f t="shared" ref="Q43:Q66" si="38">1481*P43^2</f>
        <v>7.1724545169492888</v>
      </c>
      <c r="R43" s="8">
        <f t="shared" si="19"/>
        <v>3.8129847964298613</v>
      </c>
      <c r="S43" s="9">
        <f t="shared" ref="S43:S66" si="39">IF(X43&lt;1,"",$P$10/Q43/$P$13)</f>
        <v>0.29093073996759838</v>
      </c>
      <c r="T43" s="9">
        <f t="shared" ref="T43:T66" si="40">IF(X43&lt;1,"",S43^2/(PI()*$P$12)+$P$11)</f>
        <v>2.3267085987339755E-2</v>
      </c>
      <c r="U43" s="8">
        <f t="shared" ref="U43:U66" si="41">IF(T43="","",Q43*T43*$P$13)</f>
        <v>1.0012926959168551</v>
      </c>
      <c r="V43" s="8">
        <f t="shared" si="0"/>
        <v>1.7577999999999998</v>
      </c>
      <c r="W43" s="8">
        <f t="shared" ref="W43:W66" si="42">IF(T43="","",(V43-U43)/$P$10)</f>
        <v>6.042330280912888E-2</v>
      </c>
      <c r="X43" s="10">
        <f t="shared" ref="X43:X66" si="43">P43/$V$9</f>
        <v>1.8549073963868463</v>
      </c>
      <c r="Y43" s="8">
        <f t="shared" ref="Y43:Y66" si="44">IF(X43&lt;1,"",S43/T43)</f>
        <v>12.503961180437534</v>
      </c>
      <c r="Z43" s="9">
        <f t="shared" ref="Z43:Z66" si="45">IF(X43&lt;1,"",Y43*P43)</f>
        <v>0.87016976444799776</v>
      </c>
      <c r="AA43" s="11">
        <f t="shared" ref="AA43:AA66" si="46">O43-$V$10</f>
        <v>21.200918337161795</v>
      </c>
      <c r="AB43" s="11">
        <f t="shared" ref="AB43:AB66" si="47">IF(X43&lt;1,"",W43*O43/60*6080)</f>
        <v>281.65315549428612</v>
      </c>
      <c r="AC43" s="11">
        <f t="shared" si="20"/>
        <v>3.4577962145953576</v>
      </c>
      <c r="AD43" s="11">
        <f t="shared" si="21"/>
        <v>7.2707810110252193</v>
      </c>
      <c r="AE43" s="89">
        <f t="shared" si="22"/>
        <v>6.042330280912888E-2</v>
      </c>
      <c r="AF43" s="8">
        <f t="shared" ref="AF43:AF66" si="48">IF(X43&lt;1,"",X43^2)</f>
        <v>3.4406814491706288</v>
      </c>
      <c r="AG43" s="9">
        <f t="shared" ref="AG43:AG66" si="49">IF(X43&lt;1,"",(V43-(Q43*$P$13*($P$11+$P$8^2/(PI()*$P$12))))/$P$10)</f>
        <v>-8.296126757290119E-2</v>
      </c>
      <c r="AH43" s="11">
        <f t="shared" ref="AH43:AH66" si="50">IF(X43&lt;1,"",AG43*O43*6080/60)</f>
        <v>-386.71012191315009</v>
      </c>
    </row>
    <row r="44" spans="1:34" x14ac:dyDescent="0.25">
      <c r="A44" s="1" t="s">
        <v>63</v>
      </c>
      <c r="B44" s="1">
        <f>50/B43*30</f>
        <v>26.315789473684209</v>
      </c>
      <c r="C44" s="1" t="s">
        <v>64</v>
      </c>
      <c r="E44" s="1" t="s">
        <v>73</v>
      </c>
      <c r="F44">
        <v>50</v>
      </c>
      <c r="G44" t="s">
        <v>80</v>
      </c>
      <c r="I44" s="1"/>
      <c r="J44" s="1"/>
      <c r="O44" s="6">
        <f t="shared" si="18"/>
        <v>47</v>
      </c>
      <c r="P44" s="7">
        <f t="shared" si="37"/>
        <v>7.1104387291981846E-2</v>
      </c>
      <c r="Q44" s="8">
        <f t="shared" si="38"/>
        <v>7.4876899943010287</v>
      </c>
      <c r="R44" s="8">
        <f t="shared" si="19"/>
        <v>3.6524562377752767</v>
      </c>
      <c r="S44" s="9">
        <f t="shared" si="39"/>
        <v>0.2786824109422536</v>
      </c>
      <c r="T44" s="9">
        <f t="shared" si="40"/>
        <v>2.2949830648644174E-2</v>
      </c>
      <c r="U44" s="8">
        <f t="shared" si="41"/>
        <v>1.0310473039125365</v>
      </c>
      <c r="V44" s="8">
        <f t="shared" si="0"/>
        <v>1.7267999999999999</v>
      </c>
      <c r="W44" s="8">
        <f t="shared" si="42"/>
        <v>5.5570746784673747E-2</v>
      </c>
      <c r="X44" s="10">
        <f t="shared" si="43"/>
        <v>1.8952314702213429</v>
      </c>
      <c r="Y44" s="8">
        <f t="shared" si="44"/>
        <v>12.14311404771597</v>
      </c>
      <c r="Z44" s="9">
        <f t="shared" si="45"/>
        <v>0.86342868417950169</v>
      </c>
      <c r="AA44" s="11">
        <f t="shared" si="46"/>
        <v>22.200918337161795</v>
      </c>
      <c r="AB44" s="11">
        <f t="shared" si="47"/>
        <v>264.66494335313951</v>
      </c>
      <c r="AC44" s="11">
        <f t="shared" si="20"/>
        <v>3.1806978343149224</v>
      </c>
      <c r="AD44" s="11">
        <f t="shared" si="21"/>
        <v>6.8331540720901991</v>
      </c>
      <c r="AE44" s="89">
        <f t="shared" si="22"/>
        <v>5.5570746784673747E-2</v>
      </c>
      <c r="AF44" s="8">
        <f t="shared" si="48"/>
        <v>3.5919023257173528</v>
      </c>
      <c r="AG44" s="9">
        <f t="shared" si="49"/>
        <v>-9.525410921452801E-2</v>
      </c>
      <c r="AH44" s="11">
        <f t="shared" si="50"/>
        <v>-453.66357081905869</v>
      </c>
    </row>
    <row r="45" spans="1:34" x14ac:dyDescent="0.25">
      <c r="A45" s="1" t="s">
        <v>65</v>
      </c>
      <c r="B45" s="1">
        <f>B44*3</f>
        <v>78.94736842105263</v>
      </c>
      <c r="C45" s="1" t="s">
        <v>64</v>
      </c>
      <c r="E45" s="1" t="s">
        <v>73</v>
      </c>
      <c r="F45">
        <v>80</v>
      </c>
      <c r="G45" t="s">
        <v>64</v>
      </c>
      <c r="I45" s="1"/>
      <c r="J45" s="1"/>
      <c r="O45" s="6">
        <f t="shared" si="18"/>
        <v>48</v>
      </c>
      <c r="P45" s="7">
        <f t="shared" si="37"/>
        <v>7.2617246596066568E-2</v>
      </c>
      <c r="Q45" s="8">
        <f t="shared" si="38"/>
        <v>7.8097047292302264</v>
      </c>
      <c r="R45" s="8">
        <f t="shared" si="19"/>
        <v>3.5018558286656196</v>
      </c>
      <c r="S45" s="9">
        <f t="shared" si="39"/>
        <v>0.26719159972718676</v>
      </c>
      <c r="T45" s="9">
        <f t="shared" si="40"/>
        <v>2.2664600653385627E-2</v>
      </c>
      <c r="U45" s="8">
        <f t="shared" si="41"/>
        <v>1.0620230334531613</v>
      </c>
      <c r="V45" s="8">
        <f t="shared" si="0"/>
        <v>1.6953999999999998</v>
      </c>
      <c r="W45" s="8">
        <f t="shared" si="42"/>
        <v>5.0588709501449745E-2</v>
      </c>
      <c r="X45" s="10">
        <f t="shared" si="43"/>
        <v>1.9355555440558396</v>
      </c>
      <c r="Y45" s="8">
        <f t="shared" si="44"/>
        <v>11.788939227891218</v>
      </c>
      <c r="Z45" s="9">
        <f t="shared" si="45"/>
        <v>0.85608030701781923</v>
      </c>
      <c r="AA45" s="11">
        <f t="shared" si="46"/>
        <v>23.200918337161795</v>
      </c>
      <c r="AB45" s="11">
        <f t="shared" si="47"/>
        <v>246.06348301505153</v>
      </c>
      <c r="AC45" s="11">
        <f t="shared" si="20"/>
        <v>2.89605068800206</v>
      </c>
      <c r="AD45" s="11">
        <f t="shared" si="21"/>
        <v>6.3979065166676801</v>
      </c>
      <c r="AE45" s="89">
        <f t="shared" si="22"/>
        <v>5.0588709501449745E-2</v>
      </c>
      <c r="AF45" s="8">
        <f t="shared" si="48"/>
        <v>3.7463752641252972</v>
      </c>
      <c r="AG45" s="9">
        <f t="shared" si="49"/>
        <v>-0.10779001400012045</v>
      </c>
      <c r="AH45" s="11">
        <f t="shared" si="50"/>
        <v>-524.29062809658581</v>
      </c>
    </row>
    <row r="46" spans="1:34" x14ac:dyDescent="0.25">
      <c r="I46" s="1"/>
      <c r="J46" s="1"/>
      <c r="O46" s="6">
        <f t="shared" si="18"/>
        <v>49</v>
      </c>
      <c r="P46" s="7">
        <f t="shared" si="37"/>
        <v>7.4130105900151289E-2</v>
      </c>
      <c r="Q46" s="8">
        <f t="shared" si="38"/>
        <v>8.138498721736882</v>
      </c>
      <c r="R46" s="8">
        <f t="shared" si="19"/>
        <v>3.3603814365870828</v>
      </c>
      <c r="S46" s="9">
        <f t="shared" si="39"/>
        <v>0.2563971036115944</v>
      </c>
      <c r="T46" s="9">
        <f t="shared" si="40"/>
        <v>2.2407593785142708E-2</v>
      </c>
      <c r="U46" s="8">
        <f t="shared" si="41"/>
        <v>1.0941850402654993</v>
      </c>
      <c r="V46" s="8">
        <f t="shared" si="0"/>
        <v>1.6635999999999997</v>
      </c>
      <c r="W46" s="8">
        <f t="shared" si="42"/>
        <v>4.5479974020586886E-2</v>
      </c>
      <c r="X46" s="10">
        <f t="shared" si="43"/>
        <v>1.9758796178903364</v>
      </c>
      <c r="Y46" s="8">
        <f t="shared" si="44"/>
        <v>11.442420193354174</v>
      </c>
      <c r="Z46" s="9">
        <f t="shared" si="45"/>
        <v>0.84822782068737446</v>
      </c>
      <c r="AA46" s="11">
        <f t="shared" si="46"/>
        <v>24.200918337161795</v>
      </c>
      <c r="AB46" s="11">
        <f t="shared" si="47"/>
        <v>225.82323100355407</v>
      </c>
      <c r="AC46" s="11">
        <f t="shared" si="20"/>
        <v>2.6040161463160558</v>
      </c>
      <c r="AD46" s="11">
        <f t="shared" si="21"/>
        <v>5.964397582903139</v>
      </c>
      <c r="AE46" s="89">
        <f t="shared" si="22"/>
        <v>4.5479974020586886E-2</v>
      </c>
      <c r="AF46" s="8">
        <f t="shared" si="48"/>
        <v>3.9041002643944616</v>
      </c>
      <c r="AG46" s="9">
        <f t="shared" si="49"/>
        <v>-0.12056898192967842</v>
      </c>
      <c r="AH46" s="11">
        <f t="shared" si="50"/>
        <v>-598.6651849414967</v>
      </c>
    </row>
    <row r="47" spans="1:34" x14ac:dyDescent="0.25">
      <c r="A47" s="1" t="s">
        <v>66</v>
      </c>
      <c r="B47" s="1">
        <f>J17</f>
        <v>57</v>
      </c>
      <c r="C47" s="1" t="s">
        <v>49</v>
      </c>
      <c r="E47" s="1" t="s">
        <v>73</v>
      </c>
      <c r="F47">
        <f>7*8</f>
        <v>56</v>
      </c>
      <c r="G47" t="s">
        <v>203</v>
      </c>
      <c r="I47" s="1"/>
      <c r="J47" s="1"/>
      <c r="O47" s="6">
        <f t="shared" si="18"/>
        <v>50</v>
      </c>
      <c r="P47" s="7">
        <f t="shared" si="37"/>
        <v>7.564296520423601E-2</v>
      </c>
      <c r="Q47" s="8">
        <f t="shared" si="38"/>
        <v>8.4740719718209938</v>
      </c>
      <c r="R47" s="8">
        <f t="shared" si="19"/>
        <v>3.2273103316982343</v>
      </c>
      <c r="S47" s="9">
        <f t="shared" si="39"/>
        <v>0.24624377830857525</v>
      </c>
      <c r="T47" s="9">
        <f t="shared" si="40"/>
        <v>2.217552421554761E-2</v>
      </c>
      <c r="U47" s="8">
        <f t="shared" si="41"/>
        <v>1.1275019292924584</v>
      </c>
      <c r="V47" s="8">
        <f t="shared" si="0"/>
        <v>1.6313999999999997</v>
      </c>
      <c r="W47" s="8">
        <f t="shared" si="42"/>
        <v>4.0247047909469064E-2</v>
      </c>
      <c r="X47" s="10">
        <f t="shared" si="43"/>
        <v>2.0162036917248329</v>
      </c>
      <c r="Y47" s="8">
        <f t="shared" si="44"/>
        <v>11.104304724211653</v>
      </c>
      <c r="Z47" s="9">
        <f t="shared" si="45"/>
        <v>0.83996253587077563</v>
      </c>
      <c r="AA47" s="11">
        <f t="shared" si="46"/>
        <v>25.200918337161795</v>
      </c>
      <c r="AB47" s="11">
        <f t="shared" si="47"/>
        <v>203.91837607464325</v>
      </c>
      <c r="AC47" s="11">
        <f t="shared" si="20"/>
        <v>2.3047420939677177</v>
      </c>
      <c r="AD47" s="11">
        <f t="shared" si="21"/>
        <v>5.5320524256659525</v>
      </c>
      <c r="AE47" s="89">
        <f t="shared" si="22"/>
        <v>4.0247047909469064E-2</v>
      </c>
      <c r="AF47" s="8">
        <f t="shared" si="48"/>
        <v>4.065077326524845</v>
      </c>
      <c r="AG47" s="9">
        <f t="shared" si="49"/>
        <v>-0.13359101300320186</v>
      </c>
      <c r="AH47" s="11">
        <f t="shared" si="50"/>
        <v>-676.86113254955615</v>
      </c>
    </row>
    <row r="48" spans="1:34" x14ac:dyDescent="0.25">
      <c r="A48" s="1" t="s">
        <v>63</v>
      </c>
      <c r="B48" s="1">
        <f>30*50/B47</f>
        <v>26.315789473684209</v>
      </c>
      <c r="C48" s="1" t="s">
        <v>64</v>
      </c>
      <c r="E48" s="1" t="s">
        <v>73</v>
      </c>
      <c r="F48">
        <v>50</v>
      </c>
      <c r="G48" t="s">
        <v>80</v>
      </c>
      <c r="I48" s="1"/>
      <c r="J48" s="1"/>
      <c r="O48" s="6">
        <f t="shared" si="18"/>
        <v>51</v>
      </c>
      <c r="P48" s="7">
        <f t="shared" si="37"/>
        <v>7.7155824508320731E-2</v>
      </c>
      <c r="Q48" s="8">
        <f t="shared" si="38"/>
        <v>8.8164244794825617</v>
      </c>
      <c r="R48" s="8">
        <f t="shared" si="19"/>
        <v>3.1019899381951506</v>
      </c>
      <c r="S48" s="9">
        <f t="shared" si="39"/>
        <v>0.23668183228428996</v>
      </c>
      <c r="T48" s="9">
        <f t="shared" si="40"/>
        <v>2.1965543886122867E-2</v>
      </c>
      <c r="U48" s="8">
        <f t="shared" si="41"/>
        <v>1.1619453529365731</v>
      </c>
      <c r="V48" s="8">
        <f t="shared" ref="V48:V68" si="51">$P$9*($G$34*O48^2+$G$35*O48+$G$36)</f>
        <v>1.5987999999999998</v>
      </c>
      <c r="W48" s="8">
        <f t="shared" si="42"/>
        <v>3.4892195330591881E-2</v>
      </c>
      <c r="X48" s="10">
        <f t="shared" si="43"/>
        <v>2.0565277655593297</v>
      </c>
      <c r="Y48" s="8">
        <f t="shared" si="44"/>
        <v>10.775140989512126</v>
      </c>
      <c r="Z48" s="9">
        <f t="shared" si="45"/>
        <v>0.83136488723921098</v>
      </c>
      <c r="AA48" s="11">
        <f t="shared" si="46"/>
        <v>26.200918337161795</v>
      </c>
      <c r="AB48" s="11">
        <f t="shared" si="47"/>
        <v>180.32286546849883</v>
      </c>
      <c r="AC48" s="11">
        <f t="shared" si="20"/>
        <v>1.9983648135761154</v>
      </c>
      <c r="AD48" s="11">
        <f t="shared" si="21"/>
        <v>5.100354751771266</v>
      </c>
      <c r="AE48" s="89">
        <f t="shared" si="22"/>
        <v>3.4892195330591881E-2</v>
      </c>
      <c r="AF48" s="8">
        <f t="shared" si="48"/>
        <v>4.2293064505164493</v>
      </c>
      <c r="AG48" s="9">
        <f t="shared" si="49"/>
        <v>-0.14685610722069081</v>
      </c>
      <c r="AH48" s="11">
        <f t="shared" si="50"/>
        <v>-758.95236211653014</v>
      </c>
    </row>
    <row r="49" spans="1:34" x14ac:dyDescent="0.25">
      <c r="A49" s="1" t="s">
        <v>67</v>
      </c>
      <c r="B49" s="1">
        <f>INT(600/B48)</f>
        <v>22</v>
      </c>
      <c r="C49" s="1" t="s">
        <v>68</v>
      </c>
      <c r="E49" s="1" t="s">
        <v>73</v>
      </c>
      <c r="F49">
        <v>23</v>
      </c>
      <c r="G49" t="s">
        <v>68</v>
      </c>
      <c r="I49" s="1"/>
      <c r="J49" s="1"/>
      <c r="O49" s="6">
        <f t="shared" si="18"/>
        <v>52</v>
      </c>
      <c r="P49" s="7">
        <f t="shared" si="37"/>
        <v>7.8668683812405452E-2</v>
      </c>
      <c r="Q49" s="8">
        <f t="shared" si="38"/>
        <v>9.1655562447215857</v>
      </c>
      <c r="R49" s="8">
        <f t="shared" si="19"/>
        <v>2.9838298185079837</v>
      </c>
      <c r="S49" s="9">
        <f t="shared" si="39"/>
        <v>0.22766621515215912</v>
      </c>
      <c r="T49" s="9">
        <f t="shared" si="40"/>
        <v>2.1775177102985661E-2</v>
      </c>
      <c r="U49" s="8">
        <f t="shared" si="41"/>
        <v>1.1974896628571323</v>
      </c>
      <c r="V49" s="8">
        <f t="shared" si="51"/>
        <v>1.5657999999999999</v>
      </c>
      <c r="W49" s="8">
        <f t="shared" si="42"/>
        <v>2.9417464853016047E-2</v>
      </c>
      <c r="X49" s="10">
        <f t="shared" si="43"/>
        <v>2.0968518393938265</v>
      </c>
      <c r="Y49" s="8">
        <f t="shared" si="44"/>
        <v>10.455309459730783</v>
      </c>
      <c r="Z49" s="9">
        <f t="shared" si="45"/>
        <v>0.82250543404841259</v>
      </c>
      <c r="AA49" s="11">
        <f t="shared" si="46"/>
        <v>27.200918337161795</v>
      </c>
      <c r="AB49" s="11">
        <f t="shared" si="47"/>
        <v>155.01042813215921</v>
      </c>
      <c r="AC49" s="11">
        <f t="shared" si="20"/>
        <v>1.6850106299380927</v>
      </c>
      <c r="AD49" s="11">
        <f t="shared" si="21"/>
        <v>4.6688404484460762</v>
      </c>
      <c r="AE49" s="89">
        <f t="shared" si="22"/>
        <v>2.9417464853016047E-2</v>
      </c>
      <c r="AF49" s="8">
        <f t="shared" si="48"/>
        <v>4.3967876363692735</v>
      </c>
      <c r="AG49" s="9">
        <f t="shared" si="49"/>
        <v>-0.16036426458214531</v>
      </c>
      <c r="AH49" s="11">
        <f t="shared" si="50"/>
        <v>-845.01276483818435</v>
      </c>
    </row>
    <row r="50" spans="1:34" x14ac:dyDescent="0.25">
      <c r="I50" s="1"/>
      <c r="J50" s="1"/>
      <c r="O50" s="6">
        <f t="shared" si="18"/>
        <v>53</v>
      </c>
      <c r="P50" s="7">
        <f t="shared" si="37"/>
        <v>8.0181543116490173E-2</v>
      </c>
      <c r="Q50" s="8">
        <f t="shared" si="38"/>
        <v>9.5214672675380694</v>
      </c>
      <c r="R50" s="8">
        <f t="shared" si="19"/>
        <v>2.8722947060326045</v>
      </c>
      <c r="S50" s="9">
        <f t="shared" si="39"/>
        <v>0.21915608607028769</v>
      </c>
      <c r="T50" s="9">
        <f t="shared" si="40"/>
        <v>2.1602265922513606E-2</v>
      </c>
      <c r="U50" s="8">
        <f t="shared" si="41"/>
        <v>1.2341116073151983</v>
      </c>
      <c r="V50" s="8">
        <f t="shared" si="51"/>
        <v>1.5323999999999998</v>
      </c>
      <c r="W50" s="8">
        <f t="shared" si="42"/>
        <v>2.3824713625846504E-2</v>
      </c>
      <c r="X50" s="10">
        <f t="shared" si="43"/>
        <v>2.1371759132283232</v>
      </c>
      <c r="Y50" s="8">
        <f t="shared" si="44"/>
        <v>10.145050841258556</v>
      </c>
      <c r="Z50" s="9">
        <f t="shared" si="45"/>
        <v>0.81344583144735783</v>
      </c>
      <c r="AA50" s="11">
        <f t="shared" si="46"/>
        <v>28.200918337161795</v>
      </c>
      <c r="AB50" s="11">
        <f t="shared" si="47"/>
        <v>127.95459531321296</v>
      </c>
      <c r="AC50" s="11">
        <f t="shared" si="20"/>
        <v>1.3647973505604933</v>
      </c>
      <c r="AD50" s="11">
        <f t="shared" si="21"/>
        <v>4.2370920565930978</v>
      </c>
      <c r="AE50" s="89">
        <f t="shared" si="22"/>
        <v>2.3824713625846504E-2</v>
      </c>
      <c r="AF50" s="8">
        <f t="shared" si="48"/>
        <v>4.5675208840833177</v>
      </c>
      <c r="AG50" s="9">
        <f t="shared" si="49"/>
        <v>-0.17411548508756539</v>
      </c>
      <c r="AH50" s="11">
        <f t="shared" si="50"/>
        <v>-935.11623191028445</v>
      </c>
    </row>
    <row r="51" spans="1:34" x14ac:dyDescent="0.25">
      <c r="A51" s="1" t="s">
        <v>69</v>
      </c>
      <c r="B51" s="1">
        <f>12*V13</f>
        <v>77.768888380894325</v>
      </c>
      <c r="C51" s="1" t="s">
        <v>72</v>
      </c>
      <c r="I51" s="1"/>
      <c r="J51" s="1"/>
      <c r="O51" s="6">
        <f t="shared" si="18"/>
        <v>54</v>
      </c>
      <c r="P51" s="7">
        <f t="shared" si="37"/>
        <v>8.169440242057488E-2</v>
      </c>
      <c r="Q51" s="8">
        <f t="shared" si="38"/>
        <v>9.8841575479320039</v>
      </c>
      <c r="R51" s="8">
        <f t="shared" si="19"/>
        <v>2.7668984325259225</v>
      </c>
      <c r="S51" s="9">
        <f t="shared" si="39"/>
        <v>0.21111435040172785</v>
      </c>
      <c r="T51" s="9">
        <f t="shared" si="40"/>
        <v>2.1444924385563727E-2</v>
      </c>
      <c r="U51" s="8">
        <f t="shared" si="41"/>
        <v>1.271790067382405</v>
      </c>
      <c r="V51" s="8">
        <f t="shared" si="51"/>
        <v>1.4985999999999997</v>
      </c>
      <c r="W51" s="8">
        <f t="shared" si="42"/>
        <v>1.8115628447606932E-2</v>
      </c>
      <c r="X51" s="10">
        <f t="shared" si="43"/>
        <v>2.1774999870628196</v>
      </c>
      <c r="Y51" s="8">
        <f t="shared" si="44"/>
        <v>9.8444903141670945</v>
      </c>
      <c r="Z51" s="9">
        <f t="shared" si="45"/>
        <v>0.80423975335101827</v>
      </c>
      <c r="AA51" s="11">
        <f t="shared" si="46"/>
        <v>29.200918337161795</v>
      </c>
      <c r="AB51" s="11">
        <f t="shared" si="47"/>
        <v>99.128718865305132</v>
      </c>
      <c r="AC51" s="11">
        <f t="shared" si="20"/>
        <v>1.0378355323063067</v>
      </c>
      <c r="AD51" s="11">
        <f t="shared" si="21"/>
        <v>3.8047339648322289</v>
      </c>
      <c r="AE51" s="89">
        <f t="shared" si="22"/>
        <v>1.8115628447606932E-2</v>
      </c>
      <c r="AF51" s="8">
        <f t="shared" si="48"/>
        <v>4.7415061936585792</v>
      </c>
      <c r="AG51" s="9">
        <f t="shared" si="49"/>
        <v>-0.18810976873695082</v>
      </c>
      <c r="AH51" s="11">
        <f t="shared" si="50"/>
        <v>-1029.3366545285949</v>
      </c>
    </row>
    <row r="52" spans="1:34" x14ac:dyDescent="0.25">
      <c r="I52" s="1"/>
      <c r="J52" s="1"/>
      <c r="O52" s="6">
        <f t="shared" si="18"/>
        <v>55</v>
      </c>
      <c r="P52" s="7">
        <f t="shared" si="37"/>
        <v>8.3207261724659601E-2</v>
      </c>
      <c r="Q52" s="8">
        <f t="shared" si="38"/>
        <v>10.2536270859034</v>
      </c>
      <c r="R52" s="8">
        <f t="shared" si="19"/>
        <v>2.6671986212382111</v>
      </c>
      <c r="S52" s="9">
        <f t="shared" si="39"/>
        <v>0.20350725480047549</v>
      </c>
      <c r="T52" s="9">
        <f t="shared" si="40"/>
        <v>2.1301500035610266E-2</v>
      </c>
      <c r="U52" s="8">
        <f t="shared" si="41"/>
        <v>1.310505826413034</v>
      </c>
      <c r="V52" s="8">
        <f t="shared" si="51"/>
        <v>1.4643999999999999</v>
      </c>
      <c r="W52" s="8">
        <f t="shared" si="42"/>
        <v>1.2291744178829356E-2</v>
      </c>
      <c r="X52" s="10">
        <f t="shared" si="43"/>
        <v>2.2178240608973159</v>
      </c>
      <c r="Y52" s="8">
        <f t="shared" si="44"/>
        <v>9.5536584024724629</v>
      </c>
      <c r="Z52" s="9">
        <f t="shared" si="45"/>
        <v>0.79493375512251951</v>
      </c>
      <c r="AA52" s="11">
        <f t="shared" si="46"/>
        <v>30.200918337161795</v>
      </c>
      <c r="AB52" s="11">
        <f t="shared" si="47"/>
        <v>68.50598755667562</v>
      </c>
      <c r="AC52" s="11">
        <f t="shared" si="20"/>
        <v>0.70422959909031879</v>
      </c>
      <c r="AD52" s="11">
        <f t="shared" si="21"/>
        <v>3.37142822032853</v>
      </c>
      <c r="AE52" s="89">
        <f t="shared" si="22"/>
        <v>1.2291744178829356E-2</v>
      </c>
      <c r="AF52" s="8">
        <f t="shared" si="48"/>
        <v>4.9187435650950615</v>
      </c>
      <c r="AG52" s="9">
        <f t="shared" si="49"/>
        <v>-0.20234711553030191</v>
      </c>
      <c r="AH52" s="11">
        <f t="shared" si="50"/>
        <v>-1127.7479238888825</v>
      </c>
    </row>
    <row r="53" spans="1:34" x14ac:dyDescent="0.25">
      <c r="A53" s="1" t="s">
        <v>74</v>
      </c>
      <c r="B53" s="1">
        <v>1</v>
      </c>
      <c r="H53" s="1"/>
      <c r="I53" s="1"/>
      <c r="J53" s="1"/>
      <c r="O53" s="6">
        <f t="shared" si="18"/>
        <v>56</v>
      </c>
      <c r="P53" s="7">
        <f t="shared" si="37"/>
        <v>8.4720121028744322E-2</v>
      </c>
      <c r="Q53" s="8">
        <f t="shared" si="38"/>
        <v>10.629875881452252</v>
      </c>
      <c r="R53" s="8">
        <f t="shared" si="19"/>
        <v>2.5727920373869861</v>
      </c>
      <c r="S53" s="9">
        <f t="shared" si="39"/>
        <v>0.19630403245262704</v>
      </c>
      <c r="T53" s="9">
        <f t="shared" si="40"/>
        <v>2.1170541455187559E-2</v>
      </c>
      <c r="U53" s="8">
        <f t="shared" si="41"/>
        <v>1.3502413680706997</v>
      </c>
      <c r="V53" s="8">
        <f t="shared" si="51"/>
        <v>1.4297999999999997</v>
      </c>
      <c r="W53" s="8">
        <f t="shared" si="42"/>
        <v>6.3544598739469467E-3</v>
      </c>
      <c r="X53" s="10">
        <f t="shared" si="43"/>
        <v>2.2581481347318126</v>
      </c>
      <c r="Y53" s="8">
        <f t="shared" si="44"/>
        <v>9.2725088240256301</v>
      </c>
      <c r="Z53" s="9">
        <f t="shared" si="45"/>
        <v>0.78556806981155103</v>
      </c>
      <c r="AA53" s="11">
        <f t="shared" si="46"/>
        <v>31.200918337161795</v>
      </c>
      <c r="AB53" s="11">
        <f t="shared" si="47"/>
        <v>36.059441631357608</v>
      </c>
      <c r="AC53" s="11">
        <f t="shared" si="20"/>
        <v>0.36407883151599318</v>
      </c>
      <c r="AD53" s="11">
        <f t="shared" si="21"/>
        <v>2.9368708689029792</v>
      </c>
      <c r="AE53" s="89">
        <f t="shared" si="22"/>
        <v>6.3544598739469467E-3</v>
      </c>
      <c r="AF53" s="8">
        <f t="shared" si="48"/>
        <v>5.0992329983927647</v>
      </c>
      <c r="AG53" s="9">
        <f t="shared" si="49"/>
        <v>-0.21682752546761852</v>
      </c>
      <c r="AH53" s="11">
        <f t="shared" si="50"/>
        <v>-1230.4239311869126</v>
      </c>
    </row>
    <row r="54" spans="1:34" x14ac:dyDescent="0.25">
      <c r="A54" s="1" t="s">
        <v>75</v>
      </c>
      <c r="B54" s="1">
        <f>2*((B31/B45)/(F44/F45))</f>
        <v>2.1077333333333335</v>
      </c>
      <c r="I54" s="1"/>
      <c r="J54" s="1"/>
      <c r="O54" s="6">
        <f t="shared" si="18"/>
        <v>57</v>
      </c>
      <c r="P54" s="7">
        <f t="shared" si="37"/>
        <v>8.6232980332829043E-2</v>
      </c>
      <c r="Q54" s="8">
        <f t="shared" si="38"/>
        <v>11.012903934578562</v>
      </c>
      <c r="R54" s="8">
        <f t="shared" si="19"/>
        <v>2.4833105045385007</v>
      </c>
      <c r="S54" s="9">
        <f t="shared" si="39"/>
        <v>0.18947659149628757</v>
      </c>
      <c r="T54" s="9">
        <f t="shared" si="40"/>
        <v>2.1050770792772507E-2</v>
      </c>
      <c r="U54" s="8">
        <f t="shared" si="41"/>
        <v>1.3909806989378148</v>
      </c>
      <c r="V54" s="8">
        <f t="shared" si="51"/>
        <v>1.3947999999999998</v>
      </c>
      <c r="W54" s="8">
        <f t="shared" si="42"/>
        <v>3.0505294972573967E-4</v>
      </c>
      <c r="X54" s="10">
        <f t="shared" si="43"/>
        <v>2.2984722085663094</v>
      </c>
      <c r="Y54" s="8">
        <f t="shared" si="44"/>
        <v>9.0009336646875546</v>
      </c>
      <c r="Z54" s="9">
        <f t="shared" si="45"/>
        <v>0.77617733568410074</v>
      </c>
      <c r="AA54" s="11">
        <f t="shared" si="46"/>
        <v>32.200918337161795</v>
      </c>
      <c r="AB54" s="11">
        <f t="shared" si="47"/>
        <v>1.7619858376158724</v>
      </c>
      <c r="AC54" s="11">
        <f t="shared" si="20"/>
        <v>1.7478246005141907E-2</v>
      </c>
      <c r="AD54" s="11">
        <f t="shared" si="21"/>
        <v>2.5007887505436424</v>
      </c>
      <c r="AE54" s="89">
        <f t="shared" si="22"/>
        <v>3.0505294972573967E-4</v>
      </c>
      <c r="AF54" s="8">
        <f t="shared" si="48"/>
        <v>5.2829744935516878</v>
      </c>
      <c r="AG54" s="9">
        <f t="shared" si="49"/>
        <v>-0.23155099854890066</v>
      </c>
      <c r="AH54" s="11">
        <f t="shared" si="50"/>
        <v>-1337.4385676184502</v>
      </c>
    </row>
    <row r="55" spans="1:34" x14ac:dyDescent="0.25">
      <c r="A55" s="1" t="s">
        <v>76</v>
      </c>
      <c r="B55" s="1">
        <f>4*((B31*B33*B34*B49)/(F48*F47*F49))</f>
        <v>2.2737888198757763</v>
      </c>
      <c r="I55" s="1"/>
      <c r="J55" s="1"/>
      <c r="O55" s="6">
        <f t="shared" si="18"/>
        <v>58</v>
      </c>
      <c r="P55" s="7">
        <f t="shared" si="37"/>
        <v>8.7745839636913764E-2</v>
      </c>
      <c r="Q55" s="8">
        <f t="shared" si="38"/>
        <v>11.402711245282328</v>
      </c>
      <c r="R55" s="8">
        <f t="shared" si="19"/>
        <v>2.3984173095260366</v>
      </c>
      <c r="S55" s="9">
        <f t="shared" si="39"/>
        <v>0.18299924071683657</v>
      </c>
      <c r="T55" s="9">
        <f t="shared" si="40"/>
        <v>2.0941060442088915E-2</v>
      </c>
      <c r="U55" s="8">
        <f t="shared" si="41"/>
        <v>1.4327091923468651</v>
      </c>
      <c r="V55" s="8">
        <f t="shared" si="51"/>
        <v>1.3593999999999999</v>
      </c>
      <c r="W55" s="8">
        <f t="shared" si="42"/>
        <v>-5.8553083413196887E-3</v>
      </c>
      <c r="X55" s="10">
        <f t="shared" si="43"/>
        <v>2.3387962824008062</v>
      </c>
      <c r="Y55" s="8">
        <f t="shared" si="44"/>
        <v>8.7387762058616172</v>
      </c>
      <c r="Z55" s="9">
        <f t="shared" si="45"/>
        <v>0.76679125558241112</v>
      </c>
      <c r="AA55" s="11">
        <f t="shared" si="46"/>
        <v>33.200918337161795</v>
      </c>
      <c r="AB55" s="11">
        <f t="shared" si="47"/>
        <v>-34.413598891382918</v>
      </c>
      <c r="AC55" s="11">
        <f t="shared" si="20"/>
        <v>-0.33548062179677385</v>
      </c>
      <c r="AD55" s="11">
        <f t="shared" si="21"/>
        <v>2.0629366877292625</v>
      </c>
      <c r="AE55" s="89">
        <f t="shared" si="22"/>
        <v>-5.8553083413196887E-3</v>
      </c>
      <c r="AF55" s="8">
        <f t="shared" si="48"/>
        <v>5.4699680505718318</v>
      </c>
      <c r="AG55" s="9">
        <f t="shared" si="49"/>
        <v>-0.24651753477414834</v>
      </c>
      <c r="AH55" s="11">
        <f t="shared" si="50"/>
        <v>-1448.8657243792611</v>
      </c>
    </row>
    <row r="56" spans="1:34" x14ac:dyDescent="0.25">
      <c r="I56" s="1"/>
      <c r="J56" s="1"/>
      <c r="O56" s="6">
        <f t="shared" si="18"/>
        <v>59</v>
      </c>
      <c r="P56" s="7">
        <f t="shared" si="37"/>
        <v>8.9258698940998485E-2</v>
      </c>
      <c r="Q56" s="8">
        <f t="shared" si="38"/>
        <v>11.799297813563552</v>
      </c>
      <c r="R56" s="8">
        <f t="shared" si="19"/>
        <v>2.3178040302342966</v>
      </c>
      <c r="S56" s="9">
        <f t="shared" si="39"/>
        <v>0.17684844750687681</v>
      </c>
      <c r="T56" s="9">
        <f t="shared" si="40"/>
        <v>2.0840413188045557E-2</v>
      </c>
      <c r="U56" s="8">
        <f t="shared" si="41"/>
        <v>1.4754134505808016</v>
      </c>
      <c r="V56" s="8">
        <f t="shared" si="51"/>
        <v>1.3235999999999999</v>
      </c>
      <c r="W56" s="8">
        <f t="shared" si="42"/>
        <v>-1.212555390467761E-2</v>
      </c>
      <c r="X56" s="10">
        <f t="shared" si="43"/>
        <v>2.3791203562353029</v>
      </c>
      <c r="Y56" s="8">
        <f t="shared" si="44"/>
        <v>8.485841711061676</v>
      </c>
      <c r="Z56" s="9">
        <f t="shared" si="45"/>
        <v>0.75743519054862163</v>
      </c>
      <c r="AA56" s="11">
        <f t="shared" si="46"/>
        <v>34.200918337161795</v>
      </c>
      <c r="AB56" s="11">
        <f t="shared" si="47"/>
        <v>-72.494644944765867</v>
      </c>
      <c r="AC56" s="11">
        <f t="shared" si="20"/>
        <v>-0.69470901686056385</v>
      </c>
      <c r="AD56" s="11">
        <f t="shared" si="21"/>
        <v>1.6230950133737327</v>
      </c>
      <c r="AE56" s="89">
        <f t="shared" si="22"/>
        <v>-1.212555390467761E-2</v>
      </c>
      <c r="AF56" s="8">
        <f t="shared" si="48"/>
        <v>5.6602136694531948</v>
      </c>
      <c r="AG56" s="9">
        <f t="shared" si="49"/>
        <v>-0.26172713414336152</v>
      </c>
      <c r="AH56" s="11">
        <f t="shared" si="50"/>
        <v>-1564.7792926651107</v>
      </c>
    </row>
    <row r="57" spans="1:34" x14ac:dyDescent="0.25">
      <c r="A57" s="1" t="s">
        <v>77</v>
      </c>
      <c r="B57" s="1">
        <f>(B29+B30)*B51</f>
        <v>500.05395228915046</v>
      </c>
      <c r="I57" s="1"/>
      <c r="J57" s="1"/>
      <c r="O57" s="6">
        <f t="shared" si="18"/>
        <v>60</v>
      </c>
      <c r="P57" s="7">
        <f t="shared" si="37"/>
        <v>9.0771558245083206E-2</v>
      </c>
      <c r="Q57" s="8">
        <f t="shared" si="38"/>
        <v>12.202663639422228</v>
      </c>
      <c r="R57" s="8">
        <f t="shared" si="19"/>
        <v>2.2411877303459966</v>
      </c>
      <c r="S57" s="9">
        <f t="shared" si="39"/>
        <v>0.17100262382539952</v>
      </c>
      <c r="T57" s="9">
        <f t="shared" si="40"/>
        <v>2.0747945256073999E-2</v>
      </c>
      <c r="U57" s="8">
        <f t="shared" si="41"/>
        <v>1.5190811830141029</v>
      </c>
      <c r="V57" s="8">
        <f t="shared" si="51"/>
        <v>1.2873999999999999</v>
      </c>
      <c r="W57" s="8">
        <f t="shared" si="42"/>
        <v>-1.8504702070794261E-2</v>
      </c>
      <c r="X57" s="10">
        <f t="shared" si="43"/>
        <v>2.4194444300697993</v>
      </c>
      <c r="Y57" s="8">
        <f t="shared" si="44"/>
        <v>8.2419064497646186</v>
      </c>
      <c r="Z57" s="9">
        <f t="shared" si="45"/>
        <v>0.74813069135533605</v>
      </c>
      <c r="AA57" s="11">
        <f t="shared" si="46"/>
        <v>35.200918337161795</v>
      </c>
      <c r="AB57" s="11">
        <f t="shared" si="47"/>
        <v>-112.5085885904291</v>
      </c>
      <c r="AC57" s="11">
        <f t="shared" si="20"/>
        <v>-1.0601203373023851</v>
      </c>
      <c r="AD57" s="11">
        <f t="shared" si="21"/>
        <v>1.1810673930436115</v>
      </c>
      <c r="AE57" s="89">
        <f t="shared" si="22"/>
        <v>-1.8504702070794261E-2</v>
      </c>
      <c r="AF57" s="8">
        <f t="shared" si="48"/>
        <v>5.853711350195776</v>
      </c>
      <c r="AG57" s="9">
        <f t="shared" si="49"/>
        <v>-0.27717979665654019</v>
      </c>
      <c r="AH57" s="11">
        <f t="shared" si="50"/>
        <v>-1685.2531636717645</v>
      </c>
    </row>
    <row r="58" spans="1:34" x14ac:dyDescent="0.25">
      <c r="A58" s="1" t="s">
        <v>79</v>
      </c>
      <c r="B58" s="1">
        <v>90</v>
      </c>
      <c r="I58" s="1"/>
      <c r="J58" s="1"/>
      <c r="O58" s="6">
        <f t="shared" si="18"/>
        <v>61</v>
      </c>
      <c r="P58" s="7">
        <f t="shared" si="37"/>
        <v>9.2284417549167927E-2</v>
      </c>
      <c r="Q58" s="8">
        <f t="shared" si="38"/>
        <v>12.612808722858366</v>
      </c>
      <c r="R58" s="8">
        <f t="shared" si="19"/>
        <v>2.1683084733258768</v>
      </c>
      <c r="S58" s="9">
        <f t="shared" si="39"/>
        <v>0.16544193651476438</v>
      </c>
      <c r="T58" s="9">
        <f t="shared" si="40"/>
        <v>2.0662871800677871E-2</v>
      </c>
      <c r="U58" s="8">
        <f t="shared" si="41"/>
        <v>1.5637010981213642</v>
      </c>
      <c r="V58" s="8">
        <f t="shared" si="51"/>
        <v>1.2507999999999999</v>
      </c>
      <c r="W58" s="8">
        <f t="shared" si="42"/>
        <v>-2.4991850969648007E-2</v>
      </c>
      <c r="X58" s="10">
        <f t="shared" si="43"/>
        <v>2.459768503904296</v>
      </c>
      <c r="Y58" s="8">
        <f t="shared" si="44"/>
        <v>8.0067252079324653</v>
      </c>
      <c r="Z58" s="9">
        <f t="shared" si="45"/>
        <v>0.73889597229028803</v>
      </c>
      <c r="AA58" s="11">
        <f t="shared" si="46"/>
        <v>36.200918337161795</v>
      </c>
      <c r="AB58" s="11">
        <f t="shared" si="47"/>
        <v>-154.48296146038422</v>
      </c>
      <c r="AC58" s="11">
        <f t="shared" si="20"/>
        <v>-1.4316295706567448</v>
      </c>
      <c r="AD58" s="11">
        <f t="shared" si="21"/>
        <v>0.73667890266913205</v>
      </c>
      <c r="AE58" s="89">
        <f t="shared" si="22"/>
        <v>-2.4991850969648007E-2</v>
      </c>
      <c r="AF58" s="8">
        <f t="shared" si="48"/>
        <v>6.050461092799579</v>
      </c>
      <c r="AG58" s="9">
        <f t="shared" si="49"/>
        <v>-0.29287552231368441</v>
      </c>
      <c r="AH58" s="11">
        <f t="shared" si="50"/>
        <v>-1810.3612285949878</v>
      </c>
    </row>
    <row r="59" spans="1:34" x14ac:dyDescent="0.25">
      <c r="A59" s="1" t="s">
        <v>78</v>
      </c>
      <c r="B59" s="1">
        <f>B58*(B55+B54+B53)/B57*penalty</f>
        <v>0.96856947449693898</v>
      </c>
      <c r="I59" s="1"/>
      <c r="J59" s="1"/>
      <c r="O59" s="6">
        <f t="shared" si="18"/>
        <v>62</v>
      </c>
      <c r="P59" s="7">
        <f t="shared" si="37"/>
        <v>9.3797276853252648E-2</v>
      </c>
      <c r="Q59" s="8">
        <f t="shared" si="38"/>
        <v>13.029733063871957</v>
      </c>
      <c r="R59" s="8">
        <f t="shared" si="19"/>
        <v>2.0989271147881343</v>
      </c>
      <c r="S59" s="9">
        <f t="shared" si="39"/>
        <v>0.16014813885833462</v>
      </c>
      <c r="T59" s="9">
        <f t="shared" si="40"/>
        <v>2.0584494449350427E-2</v>
      </c>
      <c r="U59" s="8">
        <f t="shared" si="41"/>
        <v>1.6092628075787401</v>
      </c>
      <c r="V59" s="8">
        <f t="shared" si="51"/>
        <v>1.2138</v>
      </c>
      <c r="W59" s="8">
        <f t="shared" si="42"/>
        <v>-3.1586170871196577E-2</v>
      </c>
      <c r="X59" s="10">
        <f t="shared" si="43"/>
        <v>2.5000925777387928</v>
      </c>
      <c r="Y59" s="8">
        <f t="shared" si="44"/>
        <v>7.7800375060164919</v>
      </c>
      <c r="Z59" s="9">
        <f t="shared" si="45"/>
        <v>0.72974633188051818</v>
      </c>
      <c r="AA59" s="11">
        <f t="shared" si="46"/>
        <v>37.200918337161795</v>
      </c>
      <c r="AB59" s="11">
        <f t="shared" si="47"/>
        <v>-198.44538286010436</v>
      </c>
      <c r="AC59" s="11">
        <f t="shared" si="20"/>
        <v>-1.809152786301601</v>
      </c>
      <c r="AD59" s="11">
        <f t="shared" si="21"/>
        <v>0.28977432848653328</v>
      </c>
      <c r="AE59" s="89">
        <f t="shared" si="22"/>
        <v>-3.1586170871196577E-2</v>
      </c>
      <c r="AF59" s="8">
        <f t="shared" si="48"/>
        <v>6.2504628972646019</v>
      </c>
      <c r="AG59" s="9">
        <f t="shared" si="49"/>
        <v>-0.30881431111479407</v>
      </c>
      <c r="AH59" s="11">
        <f t="shared" si="50"/>
        <v>-1940.1773786305462</v>
      </c>
    </row>
    <row r="60" spans="1:34" x14ac:dyDescent="0.25">
      <c r="I60" s="1"/>
      <c r="J60" s="1"/>
      <c r="O60" s="6">
        <f t="shared" si="18"/>
        <v>63</v>
      </c>
      <c r="P60" s="7">
        <f t="shared" si="37"/>
        <v>9.5310136157337369E-2</v>
      </c>
      <c r="Q60" s="8">
        <f t="shared" si="38"/>
        <v>13.453436662463009</v>
      </c>
      <c r="R60" s="8">
        <f t="shared" si="19"/>
        <v>2.0328233381823098</v>
      </c>
      <c r="S60" s="9">
        <f t="shared" si="39"/>
        <v>0.15510442070331021</v>
      </c>
      <c r="T60" s="9">
        <f t="shared" si="40"/>
        <v>2.0512190583426966E-2</v>
      </c>
      <c r="U60" s="8">
        <f t="shared" si="41"/>
        <v>1.6557567409350291</v>
      </c>
      <c r="V60" s="8">
        <f t="shared" si="51"/>
        <v>1.1763999999999997</v>
      </c>
      <c r="W60" s="8">
        <f t="shared" si="42"/>
        <v>-3.8286897370036599E-2</v>
      </c>
      <c r="X60" s="10">
        <f t="shared" si="43"/>
        <v>2.5404166515732896</v>
      </c>
      <c r="Y60" s="8">
        <f t="shared" si="44"/>
        <v>7.5615727180610541</v>
      </c>
      <c r="Z60" s="9">
        <f t="shared" si="45"/>
        <v>0.72069452532200673</v>
      </c>
      <c r="AA60" s="11">
        <f t="shared" si="46"/>
        <v>38.200918337161795</v>
      </c>
      <c r="AB60" s="11">
        <f t="shared" si="47"/>
        <v>-244.42355281031362</v>
      </c>
      <c r="AC60" s="11">
        <f t="shared" si="20"/>
        <v>-2.1926066775842132</v>
      </c>
      <c r="AD60" s="11">
        <f t="shared" si="21"/>
        <v>-0.15978333940190348</v>
      </c>
      <c r="AE60" s="89">
        <f t="shared" si="22"/>
        <v>-3.8286897370036599E-2</v>
      </c>
      <c r="AF60" s="8">
        <f t="shared" si="48"/>
        <v>6.4537167635908448</v>
      </c>
      <c r="AG60" s="9">
        <f t="shared" si="49"/>
        <v>-0.32499616305986956</v>
      </c>
      <c r="AH60" s="11">
        <f t="shared" si="50"/>
        <v>-2074.7755049742073</v>
      </c>
    </row>
    <row r="61" spans="1:34" x14ac:dyDescent="0.25">
      <c r="I61" s="1"/>
      <c r="J61" s="1"/>
      <c r="O61" s="6">
        <f t="shared" si="18"/>
        <v>64</v>
      </c>
      <c r="P61" s="7">
        <f t="shared" si="37"/>
        <v>9.682299546142209E-2</v>
      </c>
      <c r="Q61" s="8">
        <f t="shared" si="38"/>
        <v>13.883919518631515</v>
      </c>
      <c r="R61" s="8">
        <f t="shared" si="19"/>
        <v>1.969793903624411</v>
      </c>
      <c r="S61" s="9">
        <f t="shared" si="39"/>
        <v>0.15029527484654254</v>
      </c>
      <c r="T61" s="9">
        <f t="shared" si="40"/>
        <v>2.0445404090875471E-2</v>
      </c>
      <c r="U61" s="8">
        <f t="shared" si="41"/>
        <v>1.7031740695416873</v>
      </c>
      <c r="V61" s="8">
        <f t="shared" si="51"/>
        <v>1.1385999999999998</v>
      </c>
      <c r="W61" s="8">
        <f t="shared" si="42"/>
        <v>-4.5093325309586561E-2</v>
      </c>
      <c r="X61" s="10">
        <f t="shared" si="43"/>
        <v>2.5807407254077863</v>
      </c>
      <c r="Y61" s="8">
        <f t="shared" si="44"/>
        <v>7.351054260337043</v>
      </c>
      <c r="Z61" s="9">
        <f t="shared" si="45"/>
        <v>0.71175109328528108</v>
      </c>
      <c r="AA61" s="11">
        <f t="shared" si="46"/>
        <v>39.200918337161795</v>
      </c>
      <c r="AB61" s="11">
        <f t="shared" si="47"/>
        <v>-292.4452457411054</v>
      </c>
      <c r="AC61" s="11">
        <f t="shared" si="20"/>
        <v>-2.5819081481600934</v>
      </c>
      <c r="AD61" s="11">
        <f t="shared" si="21"/>
        <v>-0.61211424453568242</v>
      </c>
      <c r="AE61" s="89">
        <f t="shared" si="22"/>
        <v>-4.5093325309586561E-2</v>
      </c>
      <c r="AF61" s="8">
        <f t="shared" si="48"/>
        <v>6.6602226917783067</v>
      </c>
      <c r="AG61" s="9">
        <f t="shared" si="49"/>
        <v>-0.34142107814891021</v>
      </c>
      <c r="AH61" s="11">
        <f t="shared" si="50"/>
        <v>-2214.2294988217322</v>
      </c>
    </row>
    <row r="62" spans="1:34" x14ac:dyDescent="0.25">
      <c r="I62" s="1"/>
      <c r="J62" s="1"/>
      <c r="O62" s="6">
        <f t="shared" si="18"/>
        <v>65</v>
      </c>
      <c r="P62" s="7">
        <f t="shared" si="37"/>
        <v>9.8335854765506811E-2</v>
      </c>
      <c r="Q62" s="8">
        <f t="shared" si="38"/>
        <v>14.321181632377479</v>
      </c>
      <c r="R62" s="8">
        <f t="shared" si="19"/>
        <v>1.9096510838451093</v>
      </c>
      <c r="S62" s="9">
        <f t="shared" si="39"/>
        <v>0.14570637769738182</v>
      </c>
      <c r="T62" s="9">
        <f t="shared" si="40"/>
        <v>2.0383637369830173E-2</v>
      </c>
      <c r="U62" s="8">
        <f t="shared" si="41"/>
        <v>1.7515066386111304</v>
      </c>
      <c r="V62" s="8">
        <f t="shared" si="51"/>
        <v>1.1003999999999998</v>
      </c>
      <c r="W62" s="8">
        <f t="shared" si="42"/>
        <v>-5.2004803355488113E-2</v>
      </c>
      <c r="X62" s="10">
        <f t="shared" si="43"/>
        <v>2.6210647992422826</v>
      </c>
      <c r="Y62" s="8">
        <f t="shared" si="44"/>
        <v>7.1482029950671055</v>
      </c>
      <c r="Z62" s="9">
        <f t="shared" si="45"/>
        <v>0.70292465155727968</v>
      </c>
      <c r="AA62" s="11">
        <f t="shared" si="46"/>
        <v>40.200918337161795</v>
      </c>
      <c r="AB62" s="11">
        <f t="shared" si="47"/>
        <v>-342.53830476814841</v>
      </c>
      <c r="AC62" s="11">
        <f t="shared" si="20"/>
        <v>-2.9769739378739186</v>
      </c>
      <c r="AD62" s="11">
        <f t="shared" si="21"/>
        <v>-1.0673228540288093</v>
      </c>
      <c r="AE62" s="89">
        <f t="shared" si="22"/>
        <v>-5.2004803355488113E-2</v>
      </c>
      <c r="AF62" s="8">
        <f t="shared" si="48"/>
        <v>6.8699806818269877</v>
      </c>
      <c r="AG62" s="9">
        <f t="shared" si="49"/>
        <v>-0.35808905638191668</v>
      </c>
      <c r="AH62" s="11">
        <f t="shared" si="50"/>
        <v>-2358.6132513688913</v>
      </c>
    </row>
    <row r="63" spans="1:34" x14ac:dyDescent="0.25">
      <c r="I63" s="1"/>
      <c r="J63" s="1"/>
      <c r="O63" s="6">
        <f t="shared" si="18"/>
        <v>66</v>
      </c>
      <c r="P63" s="7">
        <f t="shared" si="37"/>
        <v>9.9848714069591532E-2</v>
      </c>
      <c r="Q63" s="8">
        <f t="shared" si="38"/>
        <v>14.765223003700898</v>
      </c>
      <c r="R63" s="8">
        <f t="shared" si="19"/>
        <v>1.8522212647487573</v>
      </c>
      <c r="S63" s="9">
        <f t="shared" si="39"/>
        <v>0.14132448250033017</v>
      </c>
      <c r="T63" s="9">
        <f t="shared" si="40"/>
        <v>2.0326444397693717E-2</v>
      </c>
      <c r="U63" s="8">
        <f t="shared" si="41"/>
        <v>1.8007469064256472</v>
      </c>
      <c r="V63" s="8">
        <f t="shared" si="51"/>
        <v>1.0617999999999999</v>
      </c>
      <c r="W63" s="8">
        <f t="shared" si="42"/>
        <v>-5.9020729140136168E-2</v>
      </c>
      <c r="X63" s="10">
        <f t="shared" si="43"/>
        <v>2.6613888730767794</v>
      </c>
      <c r="Y63" s="8">
        <f t="shared" si="44"/>
        <v>6.9527399743540563</v>
      </c>
      <c r="Z63" s="9">
        <f t="shared" si="45"/>
        <v>0.69422214569949736</v>
      </c>
      <c r="AA63" s="11">
        <f t="shared" si="46"/>
        <v>41.200918337161795</v>
      </c>
      <c r="AB63" s="11">
        <f t="shared" si="47"/>
        <v>-394.73063648923068</v>
      </c>
      <c r="AC63" s="11">
        <f t="shared" si="20"/>
        <v>-3.3777202842042255</v>
      </c>
      <c r="AD63" s="11">
        <f t="shared" si="21"/>
        <v>-1.5254990194554683</v>
      </c>
      <c r="AE63" s="89">
        <f t="shared" si="22"/>
        <v>-5.9020729140136168E-2</v>
      </c>
      <c r="AF63" s="8">
        <f t="shared" si="48"/>
        <v>7.0829907337368896</v>
      </c>
      <c r="AG63" s="9">
        <f t="shared" si="49"/>
        <v>-0.37500009775888848</v>
      </c>
      <c r="AH63" s="11">
        <f t="shared" si="50"/>
        <v>-2508.0006538114462</v>
      </c>
    </row>
    <row r="64" spans="1:34" x14ac:dyDescent="0.25">
      <c r="I64" s="1"/>
      <c r="J64" s="1"/>
      <c r="O64" s="6">
        <f t="shared" si="18"/>
        <v>67</v>
      </c>
      <c r="P64" s="7">
        <f t="shared" si="37"/>
        <v>0.10136157337367625</v>
      </c>
      <c r="Q64" s="8">
        <f t="shared" si="38"/>
        <v>15.216043632601776</v>
      </c>
      <c r="R64" s="8">
        <f t="shared" si="19"/>
        <v>1.797343691077208</v>
      </c>
      <c r="S64" s="9">
        <f t="shared" si="39"/>
        <v>0.13713732362919095</v>
      </c>
      <c r="T64" s="9">
        <f t="shared" si="40"/>
        <v>2.0273424710348813E-2</v>
      </c>
      <c r="U64" s="8">
        <f t="shared" si="41"/>
        <v>1.8508878898496075</v>
      </c>
      <c r="V64" s="8">
        <f t="shared" si="51"/>
        <v>1.0227999999999997</v>
      </c>
      <c r="W64" s="8">
        <f t="shared" si="42"/>
        <v>-6.6140544910662458E-2</v>
      </c>
      <c r="X64" s="10">
        <f t="shared" si="43"/>
        <v>2.7017129469112762</v>
      </c>
      <c r="Y64" s="8">
        <f t="shared" si="44"/>
        <v>6.7643886313488792</v>
      </c>
      <c r="Z64" s="9">
        <f t="shared" si="45"/>
        <v>0.68564907458453095</v>
      </c>
      <c r="AA64" s="11">
        <f t="shared" si="46"/>
        <v>42.200918337161795</v>
      </c>
      <c r="AB64" s="11">
        <f t="shared" si="47"/>
        <v>-449.05020624679099</v>
      </c>
      <c r="AC64" s="11">
        <f t="shared" si="20"/>
        <v>-3.7840626158836059</v>
      </c>
      <c r="AD64" s="11">
        <f t="shared" si="21"/>
        <v>-1.9867189248063979</v>
      </c>
      <c r="AE64" s="89">
        <f t="shared" si="22"/>
        <v>-6.6140544910662458E-2</v>
      </c>
      <c r="AF64" s="8">
        <f t="shared" si="48"/>
        <v>7.2992528475080123</v>
      </c>
      <c r="AG64" s="9">
        <f t="shared" si="49"/>
        <v>-0.39215420227982584</v>
      </c>
      <c r="AH64" s="11">
        <f t="shared" si="50"/>
        <v>-2662.4655973451645</v>
      </c>
    </row>
    <row r="65" spans="9:34" x14ac:dyDescent="0.25">
      <c r="I65" s="1"/>
      <c r="J65" s="1"/>
      <c r="O65" s="6">
        <f t="shared" si="18"/>
        <v>68</v>
      </c>
      <c r="P65" s="7">
        <f t="shared" si="37"/>
        <v>0.10287443267776097</v>
      </c>
      <c r="Q65" s="8">
        <f t="shared" si="38"/>
        <v>15.673643519080109</v>
      </c>
      <c r="R65" s="8">
        <f t="shared" si="19"/>
        <v>1.7448693402347721</v>
      </c>
      <c r="S65" s="9">
        <f t="shared" si="39"/>
        <v>0.1331335306599131</v>
      </c>
      <c r="T65" s="9">
        <f t="shared" si="40"/>
        <v>2.0224218160608737E-2</v>
      </c>
      <c r="U65" s="8">
        <f t="shared" si="41"/>
        <v>1.9019231154089242</v>
      </c>
      <c r="V65" s="8">
        <f t="shared" si="51"/>
        <v>0.98339999999999983</v>
      </c>
      <c r="W65" s="8">
        <f t="shared" si="42"/>
        <v>-7.3363733621583202E-2</v>
      </c>
      <c r="X65" s="10">
        <f t="shared" si="43"/>
        <v>2.7420370207457729</v>
      </c>
      <c r="Y65" s="8">
        <f t="shared" si="44"/>
        <v>6.5828765098678037</v>
      </c>
      <c r="Z65" s="9">
        <f t="shared" si="45"/>
        <v>0.67720968634040946</v>
      </c>
      <c r="AA65" s="11">
        <f t="shared" si="46"/>
        <v>43.200918337161795</v>
      </c>
      <c r="AB65" s="11">
        <f t="shared" si="47"/>
        <v>-505.52503380845599</v>
      </c>
      <c r="AC65" s="11">
        <f t="shared" si="20"/>
        <v>-4.1959152758083622</v>
      </c>
      <c r="AD65" s="11">
        <f t="shared" si="21"/>
        <v>-2.4510459355735899</v>
      </c>
      <c r="AE65" s="89">
        <f t="shared" si="22"/>
        <v>-7.3363733621583202E-2</v>
      </c>
      <c r="AF65" s="8">
        <f t="shared" si="48"/>
        <v>7.5187670231403541</v>
      </c>
      <c r="AG65" s="9">
        <f t="shared" si="49"/>
        <v>-0.40955136994472879</v>
      </c>
      <c r="AH65" s="11">
        <f t="shared" si="50"/>
        <v>-2822.0819731658112</v>
      </c>
    </row>
    <row r="66" spans="9:34" x14ac:dyDescent="0.25">
      <c r="I66" s="1"/>
      <c r="J66" s="1"/>
      <c r="O66" s="6">
        <f t="shared" si="18"/>
        <v>69</v>
      </c>
      <c r="P66" s="7">
        <f t="shared" si="37"/>
        <v>0.1043872919818457</v>
      </c>
      <c r="Q66" s="8">
        <f t="shared" si="38"/>
        <v>16.138022663135899</v>
      </c>
      <c r="R66" s="8">
        <f t="shared" si="19"/>
        <v>1.6946599095243828</v>
      </c>
      <c r="S66" s="9">
        <f t="shared" si="39"/>
        <v>0.12930255109671041</v>
      </c>
      <c r="T66" s="9">
        <f t="shared" si="40"/>
        <v>2.0178500345442243E-2</v>
      </c>
      <c r="U66" s="8">
        <f t="shared" si="41"/>
        <v>1.9538465752970551</v>
      </c>
      <c r="V66" s="8">
        <f t="shared" si="51"/>
        <v>0.94359999999999999</v>
      </c>
      <c r="W66" s="8">
        <f t="shared" si="42"/>
        <v>-8.06898154209367E-2</v>
      </c>
      <c r="X66" s="10">
        <f t="shared" si="43"/>
        <v>2.7823610945802697</v>
      </c>
      <c r="Y66" s="8">
        <f t="shared" si="44"/>
        <v>6.4079366099134427</v>
      </c>
      <c r="Z66" s="9">
        <f t="shared" si="45"/>
        <v>0.66890714990019295</v>
      </c>
      <c r="AA66" s="11">
        <f t="shared" si="46"/>
        <v>44.200918337161795</v>
      </c>
      <c r="AB66" s="11">
        <f t="shared" si="47"/>
        <v>-564.18318942318945</v>
      </c>
      <c r="AC66" s="11">
        <f t="shared" si="20"/>
        <v>-4.6131912707803533</v>
      </c>
      <c r="AD66" s="11">
        <f t="shared" si="21"/>
        <v>-2.9185313612559707</v>
      </c>
      <c r="AE66" s="89">
        <f t="shared" si="22"/>
        <v>-8.06898154209367E-2</v>
      </c>
      <c r="AF66" s="8">
        <f t="shared" si="48"/>
        <v>7.7415332606339167</v>
      </c>
      <c r="AG66" s="9">
        <f t="shared" si="49"/>
        <v>-0.42719160075359713</v>
      </c>
      <c r="AH66" s="11">
        <f t="shared" si="50"/>
        <v>-2986.9236724691509</v>
      </c>
    </row>
    <row r="67" spans="9:34" x14ac:dyDescent="0.25">
      <c r="I67" s="1"/>
      <c r="J67" s="1"/>
      <c r="O67" s="6">
        <f t="shared" si="18"/>
        <v>70</v>
      </c>
      <c r="P67" s="7">
        <f t="shared" si="16"/>
        <v>0.1059001512859304</v>
      </c>
      <c r="Q67" s="8">
        <f t="shared" si="17"/>
        <v>16.609181064769146</v>
      </c>
      <c r="R67" s="8">
        <f t="shared" si="19"/>
        <v>1.646586903927671</v>
      </c>
      <c r="S67" s="9">
        <f t="shared" si="5"/>
        <v>0.12563458076968129</v>
      </c>
      <c r="T67" s="9">
        <f t="shared" si="6"/>
        <v>2.0135978608492068E-2</v>
      </c>
      <c r="U67" s="8">
        <f t="shared" si="7"/>
        <v>2.006652687748578</v>
      </c>
      <c r="V67" s="8">
        <f t="shared" si="51"/>
        <v>0.90339999999999976</v>
      </c>
      <c r="W67" s="8">
        <f t="shared" si="8"/>
        <v>-8.8118344485264982E-2</v>
      </c>
      <c r="X67" s="10">
        <f t="shared" si="9"/>
        <v>2.822685168414766</v>
      </c>
      <c r="Y67" s="8">
        <f t="shared" si="10"/>
        <v>6.2393084146750457</v>
      </c>
      <c r="Z67" s="9">
        <f t="shared" si="11"/>
        <v>0.66074370503366597</v>
      </c>
      <c r="AA67" s="11">
        <f t="shared" si="12"/>
        <v>45.200918337161795</v>
      </c>
      <c r="AB67" s="11">
        <f t="shared" si="13"/>
        <v>-625.05279021547972</v>
      </c>
      <c r="AC67" s="11">
        <f t="shared" si="20"/>
        <v>-5.0358020459894695</v>
      </c>
      <c r="AD67" s="11">
        <f t="shared" si="21"/>
        <v>-3.3892151420617984</v>
      </c>
      <c r="AE67" s="89">
        <f t="shared" si="22"/>
        <v>-8.8118344485264982E-2</v>
      </c>
      <c r="AF67" s="8">
        <f t="shared" si="1"/>
        <v>7.9675515599886957</v>
      </c>
      <c r="AG67" s="9">
        <f t="shared" si="2"/>
        <v>-0.44507489470643113</v>
      </c>
      <c r="AH67" s="11">
        <f t="shared" si="3"/>
        <v>-3157.0645864509515</v>
      </c>
    </row>
    <row r="68" spans="9:34" x14ac:dyDescent="0.25">
      <c r="I68" s="1"/>
      <c r="J68" s="1"/>
      <c r="O68" s="6">
        <f t="shared" si="18"/>
        <v>71</v>
      </c>
      <c r="P68" s="7">
        <f t="shared" si="16"/>
        <v>0.10741301059001512</v>
      </c>
      <c r="Q68" s="8">
        <f t="shared" si="17"/>
        <v>17.087118723979849</v>
      </c>
      <c r="R68" s="8">
        <f t="shared" si="19"/>
        <v>1.6005308131810332</v>
      </c>
      <c r="S68" s="9">
        <f t="shared" si="5"/>
        <v>0.12212050104571281</v>
      </c>
      <c r="T68" s="9">
        <f t="shared" si="6"/>
        <v>2.0096388538580836E-2</v>
      </c>
      <c r="U68" s="8">
        <f t="shared" si="7"/>
        <v>2.0603362612917517</v>
      </c>
      <c r="V68" s="8">
        <f t="shared" si="51"/>
        <v>0.86280000000000001</v>
      </c>
      <c r="W68" s="8">
        <f t="shared" si="8"/>
        <v>-9.5648906164415431E-2</v>
      </c>
      <c r="X68" s="10">
        <f t="shared" si="9"/>
        <v>2.8630092422492628</v>
      </c>
      <c r="Y68" s="8">
        <f t="shared" si="10"/>
        <v>6.0767386543740018</v>
      </c>
      <c r="Z68" s="9">
        <f t="shared" si="11"/>
        <v>0.65272079343502887</v>
      </c>
      <c r="AA68" s="11">
        <f t="shared" si="12"/>
        <v>46.200918337161795</v>
      </c>
      <c r="AB68" s="11">
        <f t="shared" si="13"/>
        <v>-688.16199688424763</v>
      </c>
      <c r="AC68" s="11">
        <f t="shared" si="20"/>
        <v>-5.4636572824576293</v>
      </c>
      <c r="AD68" s="11">
        <f t="shared" si="21"/>
        <v>-3.8631264692765961</v>
      </c>
      <c r="AE68" s="89">
        <f t="shared" si="22"/>
        <v>-9.5648906164415431E-2</v>
      </c>
      <c r="AF68" s="8">
        <f t="shared" si="1"/>
        <v>8.1968219212046982</v>
      </c>
      <c r="AG68" s="9">
        <f t="shared" si="2"/>
        <v>-0.46320125180323057</v>
      </c>
      <c r="AH68" s="11">
        <f t="shared" si="3"/>
        <v>-3332.5786063069763</v>
      </c>
    </row>
    <row r="69" spans="9:34" x14ac:dyDescent="0.25">
      <c r="I69" s="1"/>
      <c r="J69" s="1"/>
    </row>
    <row r="70" spans="9:34" x14ac:dyDescent="0.25">
      <c r="I70" s="1"/>
      <c r="J70" s="1"/>
    </row>
    <row r="71" spans="9:34" ht="15.75" thickBot="1" x14ac:dyDescent="0.3">
      <c r="I71" s="1"/>
      <c r="J71" s="1"/>
    </row>
    <row r="72" spans="9:34" x14ac:dyDescent="0.25">
      <c r="I72" s="1"/>
      <c r="J72" s="1"/>
      <c r="O72" s="23"/>
      <c r="P72" s="24" t="s">
        <v>20</v>
      </c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5"/>
      <c r="AC72" s="87"/>
      <c r="AD72" s="87"/>
      <c r="AE72" s="87"/>
    </row>
    <row r="73" spans="9:34" x14ac:dyDescent="0.25">
      <c r="I73" s="1"/>
      <c r="J73" s="1"/>
      <c r="O73" s="26" t="s">
        <v>26</v>
      </c>
      <c r="P73" s="21" t="s">
        <v>27</v>
      </c>
      <c r="Q73" s="21" t="s">
        <v>4</v>
      </c>
      <c r="R73" s="21"/>
      <c r="S73" s="21" t="s">
        <v>5</v>
      </c>
      <c r="T73" s="21" t="s">
        <v>6</v>
      </c>
      <c r="U73" s="21" t="s">
        <v>10</v>
      </c>
      <c r="V73" s="21" t="s">
        <v>30</v>
      </c>
      <c r="W73" s="21" t="s">
        <v>21</v>
      </c>
      <c r="X73" s="21" t="s">
        <v>0</v>
      </c>
      <c r="Y73" s="21" t="s">
        <v>13</v>
      </c>
      <c r="Z73" s="21" t="s">
        <v>22</v>
      </c>
      <c r="AA73" s="21" t="s">
        <v>1</v>
      </c>
      <c r="AB73" s="27" t="s">
        <v>28</v>
      </c>
      <c r="AC73" s="87"/>
      <c r="AD73" s="87"/>
      <c r="AE73" s="87"/>
    </row>
    <row r="74" spans="9:34" x14ac:dyDescent="0.25">
      <c r="I74" s="1"/>
      <c r="J74" s="1"/>
      <c r="O74" s="12">
        <v>0</v>
      </c>
      <c r="P74" s="11">
        <v>0.1</v>
      </c>
      <c r="Q74" s="7">
        <f t="shared" ref="Q74:Q79" si="52">AA74/661</f>
        <v>1.5218170236483796E-2</v>
      </c>
      <c r="R74" s="7"/>
      <c r="S74" s="8">
        <f t="shared" ref="S74" si="53">1481*Q74^2</f>
        <v>0.34298879661831649</v>
      </c>
      <c r="T74" s="6">
        <f>$V$11</f>
        <v>0</v>
      </c>
      <c r="U74" s="7">
        <f t="shared" ref="U74:U99" si="54">IF(T74&lt;$P$8,T74^2/(PI()*$P$12)+$P$11,99.999)</f>
        <v>1.9418233110513626E-2</v>
      </c>
      <c r="V74" s="22">
        <f>T74*S74*$P$13</f>
        <v>0</v>
      </c>
      <c r="W74" s="8">
        <f>IF(U74="","",S74*U74*$P$13+$V$12*($P$10-V74))</f>
        <v>0.66596766844217425</v>
      </c>
      <c r="X74" s="8">
        <f t="shared" ref="X74:X105" si="55">$P$9*($G$34*AA74^2+$G$35*AA74+$G$36)</f>
        <v>2.6064282461911357</v>
      </c>
      <c r="Y74" s="9">
        <f>IF(U74="","",(X74-W74)/$P$10)</f>
        <v>0.1549873166401263</v>
      </c>
      <c r="Z74" s="10">
        <f>Q74/$V$9</f>
        <v>0.40562834797990388</v>
      </c>
      <c r="AA74" s="8">
        <f>P74*3600/6080+$P$14</f>
        <v>10.059210526315789</v>
      </c>
      <c r="AB74" s="13">
        <v>0</v>
      </c>
      <c r="AC74" s="88"/>
      <c r="AD74" s="88"/>
      <c r="AE74" s="88"/>
    </row>
    <row r="75" spans="9:34" x14ac:dyDescent="0.25">
      <c r="I75" s="1"/>
      <c r="J75" s="1"/>
      <c r="O75" s="12">
        <f>O74+0.5</f>
        <v>0.5</v>
      </c>
      <c r="P75" s="11">
        <f>P74+32.2*Y74*(O75-O74)</f>
        <v>2.5952957979060338</v>
      </c>
      <c r="Q75" s="7">
        <f t="shared" si="52"/>
        <v>1.7453386235085827E-2</v>
      </c>
      <c r="R75" s="7"/>
      <c r="S75" s="8">
        <f t="shared" ref="S75:S79" si="56">1481*Q75^2</f>
        <v>0.45114324347627455</v>
      </c>
      <c r="T75" s="6">
        <f t="shared" ref="T75:T134" si="57">$V$11</f>
        <v>0</v>
      </c>
      <c r="U75" s="7">
        <f t="shared" si="54"/>
        <v>1.9418233110513626E-2</v>
      </c>
      <c r="V75" s="22">
        <f t="shared" ref="V75:V89" si="58">T75*S75*$P$13</f>
        <v>0</v>
      </c>
      <c r="W75" s="8">
        <f t="shared" ref="W75:W99" si="59">IF(U75="","",S75*U75*$P$13+$V$12*($P$10-V75))</f>
        <v>0.67856867800833309</v>
      </c>
      <c r="X75" s="8">
        <f t="shared" si="55"/>
        <v>2.5817260296700484</v>
      </c>
      <c r="Y75" s="9">
        <f>IF(U75="","",(X75-W75)/$P$10)</f>
        <v>0.15200785548560539</v>
      </c>
      <c r="Z75" s="10">
        <f t="shared" ref="Z75:Z89" si="60">Q75/$V$9</f>
        <v>0.465206270870894</v>
      </c>
      <c r="AA75" s="8">
        <f t="shared" ref="AA75:AA99" si="61">P75*3600/6080+$P$14</f>
        <v>11.536688301391731</v>
      </c>
      <c r="AB75" s="13">
        <f>AB74+(P75+P74)/2*(O75-O74)</f>
        <v>0.67382394947650848</v>
      </c>
      <c r="AC75" s="88"/>
      <c r="AD75" s="88"/>
      <c r="AE75" s="88"/>
    </row>
    <row r="76" spans="9:34" x14ac:dyDescent="0.25">
      <c r="I76" s="1"/>
      <c r="J76" s="1"/>
      <c r="O76" s="12">
        <f t="shared" ref="O76:O89" si="62">O75+0.5</f>
        <v>1</v>
      </c>
      <c r="P76" s="11">
        <f t="shared" ref="P76:P89" si="63">P75+32.2*Y75*(O76-O75)</f>
        <v>5.042622271224281</v>
      </c>
      <c r="Q76" s="7">
        <f t="shared" si="52"/>
        <v>1.96456326579563E-2</v>
      </c>
      <c r="R76" s="7"/>
      <c r="S76" s="8">
        <f t="shared" si="56"/>
        <v>0.57159325702894281</v>
      </c>
      <c r="T76" s="6">
        <f t="shared" si="57"/>
        <v>0</v>
      </c>
      <c r="U76" s="7">
        <f t="shared" si="54"/>
        <v>1.9418233110513626E-2</v>
      </c>
      <c r="V76" s="22">
        <f t="shared" si="58"/>
        <v>0</v>
      </c>
      <c r="W76" s="8">
        <f t="shared" si="59"/>
        <v>0.6926022366563146</v>
      </c>
      <c r="X76" s="8">
        <f t="shared" si="55"/>
        <v>2.55665052737303</v>
      </c>
      <c r="Y76" s="9">
        <f t="shared" ref="Y76:Y89" si="64">IF(U76="","",(X76-W76)/$P$10)</f>
        <v>0.14888415976012345</v>
      </c>
      <c r="Z76" s="10">
        <f t="shared" si="60"/>
        <v>0.52363887354621175</v>
      </c>
      <c r="AA76" s="8">
        <f t="shared" si="61"/>
        <v>12.985763186909114</v>
      </c>
      <c r="AB76" s="13">
        <f t="shared" ref="AB76:AB89" si="65">AB75+(P76+P75)/2*(O76-O75)</f>
        <v>2.5833034667590873</v>
      </c>
      <c r="AC76" s="88"/>
      <c r="AD76" s="88"/>
      <c r="AE76" s="88"/>
    </row>
    <row r="77" spans="9:34" x14ac:dyDescent="0.25">
      <c r="I77" s="1"/>
      <c r="J77" s="1"/>
      <c r="O77" s="12">
        <f t="shared" si="62"/>
        <v>1.5</v>
      </c>
      <c r="P77" s="11">
        <f t="shared" si="63"/>
        <v>7.4396572433622694</v>
      </c>
      <c r="Q77" s="7">
        <f t="shared" si="52"/>
        <v>2.1792829364425954E-2</v>
      </c>
      <c r="R77" s="7"/>
      <c r="S77" s="8">
        <f t="shared" si="56"/>
        <v>0.70336749673804644</v>
      </c>
      <c r="T77" s="6">
        <f t="shared" si="57"/>
        <v>0</v>
      </c>
      <c r="U77" s="7">
        <f t="shared" si="54"/>
        <v>1.9418233110513626E-2</v>
      </c>
      <c r="V77" s="22">
        <f t="shared" si="58"/>
        <v>0</v>
      </c>
      <c r="W77" s="8">
        <f t="shared" si="59"/>
        <v>0.70795517408410702</v>
      </c>
      <c r="X77" s="8">
        <f t="shared" si="55"/>
        <v>2.5312761014673333</v>
      </c>
      <c r="Y77" s="9">
        <f t="shared" si="64"/>
        <v>0.14563120794586526</v>
      </c>
      <c r="Z77" s="10">
        <f t="shared" si="60"/>
        <v>0.5808707114937951</v>
      </c>
      <c r="AA77" s="8">
        <f t="shared" si="61"/>
        <v>14.405060209885555</v>
      </c>
      <c r="AB77" s="13">
        <f t="shared" si="65"/>
        <v>5.7038733454057251</v>
      </c>
      <c r="AC77" s="88"/>
      <c r="AD77" s="88"/>
      <c r="AE77" s="88"/>
    </row>
    <row r="78" spans="9:34" x14ac:dyDescent="0.25">
      <c r="I78" s="1"/>
      <c r="J78" s="1"/>
      <c r="O78" s="12">
        <f t="shared" si="62"/>
        <v>2</v>
      </c>
      <c r="P78" s="11">
        <f t="shared" si="63"/>
        <v>9.7843196912907011</v>
      </c>
      <c r="Q78" s="7">
        <f t="shared" si="52"/>
        <v>2.3893112232424588E-2</v>
      </c>
      <c r="R78" s="7"/>
      <c r="S78" s="8">
        <f t="shared" si="56"/>
        <v>0.8454744827959827</v>
      </c>
      <c r="T78" s="6">
        <f t="shared" si="57"/>
        <v>0</v>
      </c>
      <c r="U78" s="7">
        <f t="shared" si="54"/>
        <v>1.9418233110513626E-2</v>
      </c>
      <c r="V78" s="22">
        <f t="shared" si="58"/>
        <v>0</v>
      </c>
      <c r="W78" s="8">
        <f t="shared" si="59"/>
        <v>0.72451197357554009</v>
      </c>
      <c r="X78" s="8">
        <f t="shared" si="55"/>
        <v>2.505676531832969</v>
      </c>
      <c r="Y78" s="9">
        <f t="shared" si="64"/>
        <v>0.14226411942831471</v>
      </c>
      <c r="Z78" s="10">
        <f t="shared" si="60"/>
        <v>0.63685209800729103</v>
      </c>
      <c r="AA78" s="8">
        <f t="shared" si="61"/>
        <v>15.793347185632651</v>
      </c>
      <c r="AB78" s="13">
        <f t="shared" si="65"/>
        <v>10.009867579068967</v>
      </c>
      <c r="AC78" s="88"/>
      <c r="AD78" s="88"/>
      <c r="AE78" s="88"/>
    </row>
    <row r="79" spans="9:34" x14ac:dyDescent="0.25">
      <c r="I79" s="1"/>
      <c r="J79" s="1"/>
      <c r="O79" s="12">
        <f t="shared" si="62"/>
        <v>2.5</v>
      </c>
      <c r="P79" s="11">
        <f t="shared" si="63"/>
        <v>12.074772014086568</v>
      </c>
      <c r="Q79" s="7">
        <f t="shared" si="52"/>
        <v>2.5944835190578379E-2</v>
      </c>
      <c r="R79" s="7"/>
      <c r="S79" s="8">
        <f t="shared" si="56"/>
        <v>0.99691215461115212</v>
      </c>
      <c r="T79" s="6">
        <f t="shared" si="57"/>
        <v>0</v>
      </c>
      <c r="U79" s="7">
        <f t="shared" si="54"/>
        <v>1.9418233110513626E-2</v>
      </c>
      <c r="V79" s="22">
        <f t="shared" si="58"/>
        <v>0</v>
      </c>
      <c r="W79" s="8">
        <f t="shared" si="59"/>
        <v>0.74215588565366264</v>
      </c>
      <c r="X79" s="8">
        <f t="shared" si="55"/>
        <v>2.4799244354226255</v>
      </c>
      <c r="Y79" s="9">
        <f t="shared" si="64"/>
        <v>0.13879801917065226</v>
      </c>
      <c r="Z79" s="10">
        <f t="shared" si="60"/>
        <v>0.69153915835001034</v>
      </c>
      <c r="AA79" s="8">
        <f t="shared" si="61"/>
        <v>17.149536060972309</v>
      </c>
      <c r="AB79" s="13">
        <f t="shared" si="65"/>
        <v>15.474640505413284</v>
      </c>
      <c r="AC79" s="88"/>
      <c r="AD79" s="88"/>
      <c r="AE79" s="88"/>
    </row>
    <row r="80" spans="9:34" x14ac:dyDescent="0.25">
      <c r="I80" s="1"/>
      <c r="J80" s="1"/>
      <c r="O80" s="12">
        <f t="shared" si="62"/>
        <v>3</v>
      </c>
      <c r="P80" s="11">
        <f t="shared" si="63"/>
        <v>14.309420122734069</v>
      </c>
      <c r="Q80" s="7">
        <f t="shared" ref="Q80:Q89" si="66">AA80/661</f>
        <v>2.7946570298651031E-2</v>
      </c>
      <c r="R80" s="7"/>
      <c r="S80" s="8">
        <f t="shared" ref="S80:S89" si="67">1481*Q80^2</f>
        <v>1.1566769821484746</v>
      </c>
      <c r="T80" s="6">
        <f t="shared" si="57"/>
        <v>0</v>
      </c>
      <c r="U80" s="7">
        <f t="shared" si="54"/>
        <v>1.9418233110513626E-2</v>
      </c>
      <c r="V80" s="22">
        <f t="shared" si="58"/>
        <v>0</v>
      </c>
      <c r="W80" s="8">
        <f t="shared" si="59"/>
        <v>0.76076998963754705</v>
      </c>
      <c r="X80" s="8">
        <f t="shared" si="55"/>
        <v>2.4540907280012609</v>
      </c>
      <c r="Y80" s="9">
        <f t="shared" si="64"/>
        <v>0.13524790993410321</v>
      </c>
      <c r="Z80" s="10">
        <f t="shared" si="60"/>
        <v>0.74489383189902236</v>
      </c>
      <c r="AA80" s="8">
        <f t="shared" si="61"/>
        <v>18.472682967408332</v>
      </c>
      <c r="AB80" s="13">
        <f t="shared" si="65"/>
        <v>22.070688539618445</v>
      </c>
      <c r="AC80" s="88"/>
      <c r="AD80" s="88"/>
      <c r="AE80" s="88"/>
    </row>
    <row r="81" spans="9:31" x14ac:dyDescent="0.25">
      <c r="I81" s="1"/>
      <c r="J81" s="1"/>
      <c r="O81" s="12">
        <f t="shared" si="62"/>
        <v>3.5</v>
      </c>
      <c r="P81" s="11">
        <f t="shared" si="63"/>
        <v>16.486911472673132</v>
      </c>
      <c r="Q81" s="7">
        <f t="shared" si="66"/>
        <v>2.9897105985155884E-2</v>
      </c>
      <c r="R81" s="7"/>
      <c r="S81" s="8">
        <f t="shared" si="67"/>
        <v>1.3237725174520005</v>
      </c>
      <c r="T81" s="6">
        <f t="shared" si="57"/>
        <v>0</v>
      </c>
      <c r="U81" s="7">
        <f t="shared" si="54"/>
        <v>1.9418233110513626E-2</v>
      </c>
      <c r="V81" s="22">
        <f t="shared" si="58"/>
        <v>0</v>
      </c>
      <c r="W81" s="8">
        <f t="shared" si="59"/>
        <v>0.78023818997504657</v>
      </c>
      <c r="X81" s="8">
        <f t="shared" si="55"/>
        <v>2.4282441340214795</v>
      </c>
      <c r="Y81" s="9">
        <f t="shared" si="64"/>
        <v>0.13162855355249511</v>
      </c>
      <c r="Z81" s="10">
        <f t="shared" si="60"/>
        <v>0.79688382517009371</v>
      </c>
      <c r="AA81" s="8">
        <f t="shared" si="61"/>
        <v>19.76198705618804</v>
      </c>
      <c r="AB81" s="13">
        <f t="shared" si="65"/>
        <v>29.769771438470244</v>
      </c>
      <c r="AC81" s="88"/>
      <c r="AD81" s="88"/>
      <c r="AE81" s="88"/>
    </row>
    <row r="82" spans="9:31" x14ac:dyDescent="0.25">
      <c r="I82" s="1"/>
      <c r="J82" s="1"/>
      <c r="O82" s="12">
        <f t="shared" si="62"/>
        <v>4</v>
      </c>
      <c r="P82" s="11">
        <f t="shared" si="63"/>
        <v>18.606131184868303</v>
      </c>
      <c r="Q82" s="7">
        <f t="shared" si="66"/>
        <v>3.1795443572718241E-2</v>
      </c>
      <c r="R82" s="7"/>
      <c r="S82" s="8">
        <f t="shared" si="67"/>
        <v>1.4972172935711323</v>
      </c>
      <c r="T82" s="6">
        <f t="shared" si="57"/>
        <v>0</v>
      </c>
      <c r="U82" s="7">
        <f t="shared" si="54"/>
        <v>1.9418233110513626E-2</v>
      </c>
      <c r="V82" s="22">
        <f t="shared" si="58"/>
        <v>0</v>
      </c>
      <c r="W82" s="8">
        <f t="shared" si="59"/>
        <v>0.80044613654193952</v>
      </c>
      <c r="X82" s="8">
        <f t="shared" si="55"/>
        <v>2.4024507490386688</v>
      </c>
      <c r="Y82" s="9">
        <f t="shared" si="64"/>
        <v>0.12795436247615175</v>
      </c>
      <c r="Z82" s="10">
        <f t="shared" si="60"/>
        <v>0.84748251920395612</v>
      </c>
      <c r="AA82" s="8">
        <f t="shared" si="61"/>
        <v>21.016788201566758</v>
      </c>
      <c r="AB82" s="13">
        <f t="shared" si="65"/>
        <v>38.543032102855605</v>
      </c>
      <c r="AC82" s="88"/>
      <c r="AD82" s="88"/>
      <c r="AE82" s="88"/>
    </row>
    <row r="83" spans="9:31" x14ac:dyDescent="0.25">
      <c r="I83" s="1"/>
      <c r="J83" s="1"/>
      <c r="O83" s="12">
        <f t="shared" si="62"/>
        <v>4.5</v>
      </c>
      <c r="P83" s="11">
        <f t="shared" si="63"/>
        <v>20.666196420734348</v>
      </c>
      <c r="Q83" s="7">
        <f t="shared" si="66"/>
        <v>3.3640792239291457E-2</v>
      </c>
      <c r="R83" s="7"/>
      <c r="S83" s="8">
        <f t="shared" si="67"/>
        <v>1.6760519985835021</v>
      </c>
      <c r="T83" s="6">
        <f t="shared" si="57"/>
        <v>0</v>
      </c>
      <c r="U83" s="7">
        <f t="shared" si="54"/>
        <v>1.9418233110513626E-2</v>
      </c>
      <c r="V83" s="22">
        <f t="shared" si="58"/>
        <v>0</v>
      </c>
      <c r="W83" s="8">
        <f t="shared" si="59"/>
        <v>0.82128206048302022</v>
      </c>
      <c r="X83" s="8">
        <f t="shared" si="55"/>
        <v>2.3767736577183518</v>
      </c>
      <c r="Y83" s="9">
        <f t="shared" si="64"/>
        <v>0.12423930250179863</v>
      </c>
      <c r="Z83" s="10">
        <f t="shared" si="60"/>
        <v>0.89666883526148777</v>
      </c>
      <c r="AA83" s="8">
        <f t="shared" si="61"/>
        <v>22.236563670171655</v>
      </c>
      <c r="AB83" s="13">
        <f t="shared" si="65"/>
        <v>48.361114004256265</v>
      </c>
      <c r="AC83" s="88"/>
      <c r="AD83" s="88"/>
      <c r="AE83" s="88"/>
    </row>
    <row r="84" spans="9:31" x14ac:dyDescent="0.25">
      <c r="I84" s="1"/>
      <c r="J84" s="1"/>
      <c r="O84" s="12">
        <f t="shared" si="62"/>
        <v>5</v>
      </c>
      <c r="P84" s="11">
        <f t="shared" si="63"/>
        <v>22.666449191013307</v>
      </c>
      <c r="Q84" s="7">
        <f t="shared" si="66"/>
        <v>3.5432562576550662E-2</v>
      </c>
      <c r="R84" s="7"/>
      <c r="S84" s="8">
        <f t="shared" si="67"/>
        <v>1.8593458727876855</v>
      </c>
      <c r="T84" s="6">
        <f t="shared" si="57"/>
        <v>0</v>
      </c>
      <c r="U84" s="7">
        <f t="shared" si="54"/>
        <v>1.9418233110513626E-2</v>
      </c>
      <c r="V84" s="22">
        <f t="shared" si="58"/>
        <v>0</v>
      </c>
      <c r="W84" s="8">
        <f t="shared" si="59"/>
        <v>0.84263751954517629</v>
      </c>
      <c r="X84" s="8">
        <f t="shared" si="55"/>
        <v>2.3512726091773346</v>
      </c>
      <c r="Y84" s="9">
        <f t="shared" si="64"/>
        <v>0.12049680731080227</v>
      </c>
      <c r="Z84" s="10">
        <f t="shared" si="60"/>
        <v>0.94442706312776858</v>
      </c>
      <c r="AA84" s="8">
        <f t="shared" si="61"/>
        <v>23.420923863099986</v>
      </c>
      <c r="AB84" s="13">
        <f t="shared" si="65"/>
        <v>59.194275407193174</v>
      </c>
      <c r="AC84" s="88"/>
      <c r="AD84" s="88"/>
      <c r="AE84" s="88"/>
    </row>
    <row r="85" spans="9:31" x14ac:dyDescent="0.25">
      <c r="I85" s="1"/>
      <c r="J85" s="1"/>
      <c r="O85" s="12">
        <f t="shared" si="62"/>
        <v>5.5</v>
      </c>
      <c r="P85" s="11">
        <f t="shared" si="63"/>
        <v>24.606447788717222</v>
      </c>
      <c r="Q85" s="7">
        <f t="shared" si="66"/>
        <v>3.7170358915763105E-2</v>
      </c>
      <c r="R85" s="7"/>
      <c r="S85" s="8">
        <f t="shared" si="67"/>
        <v>2.0462022968333682</v>
      </c>
      <c r="T85" s="6">
        <f t="shared" si="57"/>
        <v>0</v>
      </c>
      <c r="U85" s="7">
        <f t="shared" si="54"/>
        <v>1.9418233110513626E-2</v>
      </c>
      <c r="V85" s="22">
        <f t="shared" si="58"/>
        <v>0</v>
      </c>
      <c r="W85" s="8">
        <f t="shared" si="59"/>
        <v>0.86440804914707259</v>
      </c>
      <c r="X85" s="8">
        <f t="shared" si="55"/>
        <v>2.3260037501646442</v>
      </c>
      <c r="Y85" s="9">
        <f t="shared" si="64"/>
        <v>0.11673970515610439</v>
      </c>
      <c r="Z85" s="10">
        <f t="shared" si="60"/>
        <v>0.99074665656419592</v>
      </c>
      <c r="AA85" s="8">
        <f t="shared" si="61"/>
        <v>24.56960724331941</v>
      </c>
      <c r="AB85" s="13">
        <f t="shared" si="65"/>
        <v>71.012499652125811</v>
      </c>
      <c r="AC85" s="88"/>
      <c r="AD85" s="88"/>
      <c r="AE85" s="88"/>
    </row>
    <row r="86" spans="9:31" x14ac:dyDescent="0.25">
      <c r="I86" s="1"/>
      <c r="J86" s="1"/>
      <c r="O86" s="12">
        <f t="shared" si="62"/>
        <v>6</v>
      </c>
      <c r="P86" s="11">
        <f t="shared" si="63"/>
        <v>26.485957041730504</v>
      </c>
      <c r="Q86" s="7">
        <f t="shared" si="66"/>
        <v>3.8853970596342713E-2</v>
      </c>
      <c r="R86" s="7"/>
      <c r="S86" s="8">
        <f t="shared" si="67"/>
        <v>2.2357635570612682</v>
      </c>
      <c r="T86" s="6">
        <f t="shared" si="57"/>
        <v>0</v>
      </c>
      <c r="U86" s="7">
        <f t="shared" si="54"/>
        <v>1.9418233110513626E-2</v>
      </c>
      <c r="V86" s="22">
        <f t="shared" si="58"/>
        <v>0</v>
      </c>
      <c r="W86" s="8">
        <f t="shared" si="59"/>
        <v>0.88649371758604112</v>
      </c>
      <c r="X86" s="8">
        <f t="shared" si="55"/>
        <v>2.3010194154561598</v>
      </c>
      <c r="Y86" s="9">
        <f t="shared" si="64"/>
        <v>0.1129801577755908</v>
      </c>
      <c r="Z86" s="10">
        <f t="shared" si="60"/>
        <v>1.0356220005786789</v>
      </c>
      <c r="AA86" s="8">
        <f t="shared" si="61"/>
        <v>25.682474564182534</v>
      </c>
      <c r="AB86" s="13">
        <f t="shared" si="65"/>
        <v>83.785600859737741</v>
      </c>
      <c r="AC86" s="88"/>
      <c r="AD86" s="88"/>
      <c r="AE86" s="88"/>
    </row>
    <row r="87" spans="9:31" x14ac:dyDescent="0.25">
      <c r="I87" s="1"/>
      <c r="J87" s="1"/>
      <c r="O87" s="12">
        <f t="shared" si="62"/>
        <v>6.5</v>
      </c>
      <c r="P87" s="11">
        <f t="shared" si="63"/>
        <v>28.304937581917518</v>
      </c>
      <c r="Q87" s="7">
        <f t="shared" si="66"/>
        <v>4.0483362353417637E-2</v>
      </c>
      <c r="R87" s="7"/>
      <c r="S87" s="8">
        <f t="shared" si="67"/>
        <v>2.4272147912358442</v>
      </c>
      <c r="T87" s="6">
        <f t="shared" si="57"/>
        <v>0</v>
      </c>
      <c r="U87" s="7">
        <f t="shared" si="54"/>
        <v>1.9418233110513626E-2</v>
      </c>
      <c r="V87" s="22">
        <f>T87*S87*$P$13</f>
        <v>0</v>
      </c>
      <c r="W87" s="8">
        <f t="shared" si="59"/>
        <v>0.90879958575302577</v>
      </c>
      <c r="X87" s="8">
        <f t="shared" si="55"/>
        <v>2.2763679738298701</v>
      </c>
      <c r="Y87" s="9">
        <f t="shared" si="64"/>
        <v>0.10922961137183888</v>
      </c>
      <c r="Z87" s="10">
        <f t="shared" si="60"/>
        <v>1.0790521552138188</v>
      </c>
      <c r="AA87" s="8">
        <f t="shared" si="61"/>
        <v>26.759502515609057</v>
      </c>
      <c r="AB87" s="13">
        <f t="shared" si="65"/>
        <v>97.483324515649741</v>
      </c>
      <c r="AC87" s="88"/>
      <c r="AD87" s="88"/>
      <c r="AE87" s="88"/>
    </row>
    <row r="88" spans="9:31" x14ac:dyDescent="0.25">
      <c r="I88" s="1"/>
      <c r="J88" s="1"/>
      <c r="O88" s="12">
        <f t="shared" si="62"/>
        <v>7</v>
      </c>
      <c r="P88" s="11">
        <f t="shared" si="63"/>
        <v>30.063534325004124</v>
      </c>
      <c r="Q88" s="7">
        <f t="shared" si="66"/>
        <v>4.2058663998431119E-2</v>
      </c>
      <c r="R88" s="7"/>
      <c r="S88" s="8">
        <f t="shared" si="67"/>
        <v>2.619787132870063</v>
      </c>
      <c r="T88" s="6">
        <f t="shared" si="57"/>
        <v>0</v>
      </c>
      <c r="U88" s="7">
        <f t="shared" si="54"/>
        <v>1.9418233110513626E-2</v>
      </c>
      <c r="V88" s="22">
        <f t="shared" si="58"/>
        <v>0</v>
      </c>
      <c r="W88" s="8">
        <f t="shared" si="59"/>
        <v>0.93123607347597015</v>
      </c>
      <c r="X88" s="8">
        <f t="shared" si="55"/>
        <v>2.2520937271215953</v>
      </c>
      <c r="Y88" s="9">
        <f t="shared" si="64"/>
        <v>0.1054987592891944</v>
      </c>
      <c r="Z88" s="10">
        <f t="shared" si="60"/>
        <v>1.1210405804914481</v>
      </c>
      <c r="AA88" s="8">
        <f t="shared" si="61"/>
        <v>27.800776902962969</v>
      </c>
      <c r="AB88" s="13">
        <f t="shared" si="65"/>
        <v>112.07544249238015</v>
      </c>
      <c r="AC88" s="88"/>
      <c r="AD88" s="88"/>
      <c r="AE88" s="88"/>
    </row>
    <row r="89" spans="9:31" x14ac:dyDescent="0.25">
      <c r="I89" s="1"/>
      <c r="J89" s="1"/>
      <c r="O89" s="12">
        <f t="shared" si="62"/>
        <v>7.5</v>
      </c>
      <c r="P89" s="11">
        <f t="shared" si="63"/>
        <v>31.762064349560156</v>
      </c>
      <c r="Q89" s="7">
        <f t="shared" si="66"/>
        <v>4.3580159561473979E-2</v>
      </c>
      <c r="R89" s="7"/>
      <c r="S89" s="8">
        <f t="shared" si="67"/>
        <v>2.8127600852646308</v>
      </c>
      <c r="T89" s="6">
        <f t="shared" si="57"/>
        <v>0</v>
      </c>
      <c r="U89" s="7">
        <f t="shared" si="54"/>
        <v>1.9418233110513626E-2</v>
      </c>
      <c r="V89" s="22">
        <f t="shared" si="58"/>
        <v>0</v>
      </c>
      <c r="W89" s="8">
        <f t="shared" si="59"/>
        <v>0.95371923611770082</v>
      </c>
      <c r="X89" s="8">
        <f t="shared" si="55"/>
        <v>2.2282368591421227</v>
      </c>
      <c r="Y89" s="9">
        <f t="shared" si="64"/>
        <v>0.101797515841449</v>
      </c>
      <c r="Z89" s="10">
        <f t="shared" si="60"/>
        <v>1.1615948470100508</v>
      </c>
      <c r="AA89" s="8">
        <f t="shared" si="61"/>
        <v>28.806485470134302</v>
      </c>
      <c r="AB89" s="13">
        <f t="shared" si="65"/>
        <v>127.53184216102122</v>
      </c>
      <c r="AC89" s="88"/>
      <c r="AD89" s="88"/>
      <c r="AE89" s="88"/>
    </row>
    <row r="90" spans="9:31" x14ac:dyDescent="0.25">
      <c r="I90" s="1"/>
      <c r="J90" s="1"/>
      <c r="O90" s="12">
        <f t="shared" ref="O90:O134" si="68">O89+0.5</f>
        <v>8</v>
      </c>
      <c r="P90" s="11">
        <f t="shared" ref="P90:P99" si="69">P89+32.2*Y89*(O90-O89)</f>
        <v>33.401004354607487</v>
      </c>
      <c r="Q90" s="7">
        <f t="shared" ref="Q90:Q99" si="70">AA90/661</f>
        <v>4.5048276056161657E-2</v>
      </c>
      <c r="R90" s="7"/>
      <c r="S90" s="8">
        <f t="shared" ref="S90:S99" si="71">1481*Q90^2</f>
        <v>3.0054631671112109</v>
      </c>
      <c r="T90" s="6">
        <f t="shared" si="57"/>
        <v>0</v>
      </c>
      <c r="U90" s="7">
        <f t="shared" si="54"/>
        <v>1.9418233110513626E-2</v>
      </c>
      <c r="V90" s="22">
        <f t="shared" ref="V90:V99" si="72">T90*S90*$P$13</f>
        <v>0</v>
      </c>
      <c r="W90" s="8">
        <f t="shared" si="59"/>
        <v>0.9761709563041685</v>
      </c>
      <c r="X90" s="8">
        <f t="shared" si="55"/>
        <v>2.2048334306684017</v>
      </c>
      <c r="Y90" s="9">
        <f t="shared" ref="Y90:Y99" si="73">IF(U90="","",(X90-W90)/$P$10)</f>
        <v>9.8135000598175592E-2</v>
      </c>
      <c r="Z90" s="10">
        <f t="shared" ref="Z90:Z99" si="74">Q90/$V$9</f>
        <v>1.2007263364814029</v>
      </c>
      <c r="AA90" s="8">
        <f t="shared" si="61"/>
        <v>29.776910473122854</v>
      </c>
      <c r="AB90" s="13">
        <f t="shared" ref="AB90:AB99" si="75">AB89+(P90+P89)/2*(O90-O89)</f>
        <v>143.82260933706311</v>
      </c>
      <c r="AC90" s="88"/>
      <c r="AD90" s="88"/>
      <c r="AE90" s="88"/>
    </row>
    <row r="91" spans="9:31" x14ac:dyDescent="0.25">
      <c r="I91" s="1"/>
      <c r="J91" s="1"/>
      <c r="O91" s="12">
        <f t="shared" si="68"/>
        <v>8.5</v>
      </c>
      <c r="P91" s="11">
        <f t="shared" si="69"/>
        <v>34.980977864238113</v>
      </c>
      <c r="Q91" s="7">
        <f t="shared" si="70"/>
        <v>4.6463572017889865E-2</v>
      </c>
      <c r="R91" s="7"/>
      <c r="S91" s="8">
        <f t="shared" si="71"/>
        <v>3.1972768800238858</v>
      </c>
      <c r="T91" s="6">
        <f t="shared" si="57"/>
        <v>0</v>
      </c>
      <c r="U91" s="7">
        <f t="shared" si="54"/>
        <v>1.9418233110513626E-2</v>
      </c>
      <c r="V91" s="22">
        <f t="shared" si="72"/>
        <v>0</v>
      </c>
      <c r="W91" s="8">
        <f t="shared" si="59"/>
        <v>0.99851905665095719</v>
      </c>
      <c r="X91" s="8">
        <f t="shared" si="55"/>
        <v>2.1819154163008299</v>
      </c>
      <c r="Y91" s="9">
        <f t="shared" si="73"/>
        <v>9.4519532324946642E-2</v>
      </c>
      <c r="Z91" s="10">
        <f t="shared" si="74"/>
        <v>1.2384499362268007</v>
      </c>
      <c r="AA91" s="8">
        <f t="shared" si="61"/>
        <v>30.7124211038252</v>
      </c>
      <c r="AB91" s="13">
        <f t="shared" si="75"/>
        <v>160.9181048917745</v>
      </c>
      <c r="AC91" s="88"/>
      <c r="AD91" s="88"/>
      <c r="AE91" s="88"/>
    </row>
    <row r="92" spans="9:31" x14ac:dyDescent="0.25">
      <c r="I92" s="1"/>
      <c r="J92" s="1"/>
      <c r="O92" s="12">
        <f t="shared" si="68"/>
        <v>9</v>
      </c>
      <c r="P92" s="11">
        <f t="shared" si="69"/>
        <v>36.502742334669755</v>
      </c>
      <c r="Q92" s="7">
        <f t="shared" si="70"/>
        <v>4.7826725954696614E-2</v>
      </c>
      <c r="R92" s="7"/>
      <c r="S92" s="8">
        <f t="shared" si="71"/>
        <v>3.3876330547231088</v>
      </c>
      <c r="T92" s="6">
        <f t="shared" si="57"/>
        <v>0</v>
      </c>
      <c r="U92" s="7">
        <f t="shared" si="54"/>
        <v>1.9418233110513626E-2</v>
      </c>
      <c r="V92" s="22">
        <f t="shared" si="72"/>
        <v>0</v>
      </c>
      <c r="W92" s="8">
        <f t="shared" si="59"/>
        <v>1.0206973400969681</v>
      </c>
      <c r="X92" s="8">
        <f t="shared" si="55"/>
        <v>2.1595107786985404</v>
      </c>
      <c r="Y92" s="9">
        <f t="shared" si="73"/>
        <v>9.0958631691103103E-2</v>
      </c>
      <c r="Z92" s="10">
        <f t="shared" si="74"/>
        <v>1.2747837313438792</v>
      </c>
      <c r="AA92" s="8">
        <f t="shared" si="61"/>
        <v>31.613465856054461</v>
      </c>
      <c r="AB92" s="13">
        <f t="shared" si="75"/>
        <v>178.78903494150148</v>
      </c>
      <c r="AC92" s="88"/>
      <c r="AD92" s="88"/>
      <c r="AE92" s="88"/>
    </row>
    <row r="93" spans="9:31" x14ac:dyDescent="0.25">
      <c r="I93" s="1"/>
      <c r="J93" s="1"/>
      <c r="O93" s="12">
        <f t="shared" si="68"/>
        <v>9.5</v>
      </c>
      <c r="P93" s="11">
        <f t="shared" si="69"/>
        <v>37.967176304896512</v>
      </c>
      <c r="Q93" s="7">
        <f t="shared" si="70"/>
        <v>4.9138524837175387E-2</v>
      </c>
      <c r="R93" s="7"/>
      <c r="S93" s="8">
        <f t="shared" si="71"/>
        <v>3.5760146369202532</v>
      </c>
      <c r="T93" s="6">
        <f t="shared" si="57"/>
        <v>0</v>
      </c>
      <c r="U93" s="7">
        <f t="shared" si="54"/>
        <v>1.9418233110513626E-2</v>
      </c>
      <c r="V93" s="22">
        <f t="shared" si="72"/>
        <v>0</v>
      </c>
      <c r="W93" s="8">
        <f t="shared" si="59"/>
        <v>1.0426455649579576</v>
      </c>
      <c r="X93" s="8">
        <f t="shared" si="55"/>
        <v>2.13764357555424</v>
      </c>
      <c r="Y93" s="9">
        <f t="shared" si="73"/>
        <v>8.7459031806494142E-2</v>
      </c>
      <c r="Z93" s="10">
        <f t="shared" si="74"/>
        <v>1.3097486979143078</v>
      </c>
      <c r="AA93" s="8">
        <f t="shared" si="61"/>
        <v>32.480564917372931</v>
      </c>
      <c r="AB93" s="13">
        <f t="shared" si="75"/>
        <v>197.40651460139304</v>
      </c>
      <c r="AC93" s="88"/>
      <c r="AD93" s="88"/>
      <c r="AE93" s="88"/>
    </row>
    <row r="94" spans="9:31" x14ac:dyDescent="0.25">
      <c r="I94" s="1"/>
      <c r="J94" s="1"/>
      <c r="O94" s="12">
        <f t="shared" si="68"/>
        <v>10</v>
      </c>
      <c r="P94" s="11">
        <f t="shared" si="69"/>
        <v>39.375266716981066</v>
      </c>
      <c r="Q94" s="7">
        <f t="shared" si="70"/>
        <v>5.0399852740348514E-2</v>
      </c>
      <c r="R94" s="7"/>
      <c r="S94" s="8">
        <f t="shared" si="71"/>
        <v>3.7619549764044962</v>
      </c>
      <c r="T94" s="6">
        <f t="shared" si="57"/>
        <v>0</v>
      </c>
      <c r="U94" s="7">
        <f t="shared" si="54"/>
        <v>1.9418233110513626E-2</v>
      </c>
      <c r="V94" s="22">
        <f t="shared" si="72"/>
        <v>0</v>
      </c>
      <c r="W94" s="8">
        <f t="shared" si="59"/>
        <v>1.0643093620984758</v>
      </c>
      <c r="X94" s="8">
        <f t="shared" si="55"/>
        <v>2.1163340946363296</v>
      </c>
      <c r="Y94" s="9">
        <f t="shared" si="73"/>
        <v>8.4026695623075146E-2</v>
      </c>
      <c r="Z94" s="10">
        <f t="shared" si="74"/>
        <v>1.3433684002618671</v>
      </c>
      <c r="AA94" s="8">
        <f t="shared" si="61"/>
        <v>33.31430266137037</v>
      </c>
      <c r="AB94" s="13">
        <f t="shared" si="75"/>
        <v>216.74212535686243</v>
      </c>
      <c r="AC94" s="88"/>
      <c r="AD94" s="88"/>
      <c r="AE94" s="88"/>
    </row>
    <row r="95" spans="9:31" x14ac:dyDescent="0.25">
      <c r="I95" s="1"/>
      <c r="J95" s="1"/>
      <c r="O95" s="12">
        <f t="shared" si="68"/>
        <v>10.5</v>
      </c>
      <c r="P95" s="11">
        <f t="shared" si="69"/>
        <v>40.728096516512579</v>
      </c>
      <c r="Q95" s="7">
        <f t="shared" si="70"/>
        <v>5.1611679736505024E-2</v>
      </c>
      <c r="R95" s="7"/>
      <c r="S95" s="8">
        <f t="shared" si="71"/>
        <v>3.9450366836160975</v>
      </c>
      <c r="T95" s="6">
        <f t="shared" si="57"/>
        <v>0</v>
      </c>
      <c r="U95" s="7">
        <f t="shared" si="54"/>
        <v>1.9418233110513626E-2</v>
      </c>
      <c r="V95" s="22">
        <f t="shared" si="72"/>
        <v>0</v>
      </c>
      <c r="W95" s="8">
        <f t="shared" si="59"/>
        <v>1.0856401017119099</v>
      </c>
      <c r="X95" s="8">
        <f t="shared" si="55"/>
        <v>2.095599012293837</v>
      </c>
      <c r="Y95" s="9">
        <f t="shared" si="73"/>
        <v>8.0666839235385202E-2</v>
      </c>
      <c r="Z95" s="10">
        <f t="shared" si="74"/>
        <v>1.3756686948997847</v>
      </c>
      <c r="AA95" s="8">
        <f t="shared" si="61"/>
        <v>34.115320305829819</v>
      </c>
      <c r="AB95" s="13">
        <f t="shared" si="75"/>
        <v>236.76796616523583</v>
      </c>
      <c r="AC95" s="88"/>
      <c r="AD95" s="88"/>
      <c r="AE95" s="88"/>
    </row>
    <row r="96" spans="9:31" x14ac:dyDescent="0.25">
      <c r="I96" s="1"/>
      <c r="J96" s="1"/>
      <c r="O96" s="12">
        <f t="shared" si="68"/>
        <v>11</v>
      </c>
      <c r="P96" s="11">
        <f t="shared" si="69"/>
        <v>42.026832628202278</v>
      </c>
      <c r="Q96" s="7">
        <f t="shared" si="70"/>
        <v>5.2775051124076419E-2</v>
      </c>
      <c r="R96" s="7"/>
      <c r="S96" s="8">
        <f t="shared" si="71"/>
        <v>4.1248901173214909</v>
      </c>
      <c r="T96" s="6">
        <f t="shared" si="57"/>
        <v>0</v>
      </c>
      <c r="U96" s="7">
        <f t="shared" si="54"/>
        <v>1.9418233110513626E-2</v>
      </c>
      <c r="V96" s="22">
        <f t="shared" si="72"/>
        <v>0</v>
      </c>
      <c r="W96" s="8">
        <f t="shared" si="59"/>
        <v>1.1065947171204158</v>
      </c>
      <c r="X96" s="8">
        <f t="shared" si="55"/>
        <v>2.0754515709733421</v>
      </c>
      <c r="Y96" s="9">
        <f t="shared" si="73"/>
        <v>7.7383960132420909E-2</v>
      </c>
      <c r="Z96" s="10">
        <f t="shared" si="74"/>
        <v>1.4066774434348983</v>
      </c>
      <c r="AA96" s="8">
        <f t="shared" si="61"/>
        <v>34.884308793014512</v>
      </c>
      <c r="AB96" s="13">
        <f t="shared" si="75"/>
        <v>257.45669845141452</v>
      </c>
      <c r="AC96" s="88"/>
      <c r="AD96" s="88"/>
      <c r="AE96" s="88"/>
    </row>
    <row r="97" spans="9:31" x14ac:dyDescent="0.25">
      <c r="I97" s="1"/>
      <c r="J97" s="1"/>
      <c r="O97" s="12">
        <f t="shared" si="68"/>
        <v>11.5</v>
      </c>
      <c r="P97" s="11">
        <f t="shared" si="69"/>
        <v>43.272714386334258</v>
      </c>
      <c r="Q97" s="7">
        <f t="shared" si="70"/>
        <v>5.3891077063958945E-2</v>
      </c>
      <c r="R97" s="7"/>
      <c r="S97" s="8">
        <f t="shared" si="71"/>
        <v>4.3011915651151851</v>
      </c>
      <c r="T97" s="6">
        <f t="shared" si="57"/>
        <v>0</v>
      </c>
      <c r="U97" s="7">
        <f t="shared" si="54"/>
        <v>1.9418233110513626E-2</v>
      </c>
      <c r="V97" s="22">
        <f t="shared" si="72"/>
        <v>0</v>
      </c>
      <c r="W97" s="8">
        <f t="shared" si="59"/>
        <v>1.1271354927862898</v>
      </c>
      <c r="X97" s="8">
        <f t="shared" si="55"/>
        <v>2.0559017715205981</v>
      </c>
      <c r="Y97" s="9">
        <f t="shared" si="73"/>
        <v>7.4181869488867583E-2</v>
      </c>
      <c r="Z97" s="10">
        <f t="shared" si="74"/>
        <v>1.4364242363319832</v>
      </c>
      <c r="AA97" s="8">
        <f t="shared" si="61"/>
        <v>35.622001939276863</v>
      </c>
      <c r="AB97" s="13">
        <f t="shared" si="75"/>
        <v>278.78158520504866</v>
      </c>
      <c r="AC97" s="88"/>
      <c r="AD97" s="88"/>
      <c r="AE97" s="88"/>
    </row>
    <row r="98" spans="9:31" x14ac:dyDescent="0.25">
      <c r="I98" s="1"/>
      <c r="J98" s="1"/>
      <c r="O98" s="12">
        <f t="shared" si="68"/>
        <v>12</v>
      </c>
      <c r="P98" s="11">
        <f t="shared" si="69"/>
        <v>44.467042485105026</v>
      </c>
      <c r="Q98" s="7">
        <f t="shared" si="70"/>
        <v>5.4960922681537662E-2</v>
      </c>
      <c r="R98" s="7"/>
      <c r="S98" s="8">
        <f t="shared" si="71"/>
        <v>4.473661175590828</v>
      </c>
      <c r="T98" s="6">
        <f t="shared" si="57"/>
        <v>0</v>
      </c>
      <c r="U98" s="7">
        <f t="shared" si="54"/>
        <v>1.9418233110513626E-2</v>
      </c>
      <c r="V98" s="22">
        <f t="shared" si="72"/>
        <v>0</v>
      </c>
      <c r="W98" s="8">
        <f t="shared" si="59"/>
        <v>1.1472298233904628</v>
      </c>
      <c r="X98" s="8">
        <f t="shared" si="55"/>
        <v>2.0369565763174711</v>
      </c>
      <c r="Y98" s="9">
        <f t="shared" si="73"/>
        <v>7.1063727632672061E-2</v>
      </c>
      <c r="Z98" s="10">
        <f t="shared" si="74"/>
        <v>1.4649401290909976</v>
      </c>
      <c r="AA98" s="8">
        <f t="shared" si="61"/>
        <v>36.329169892496395</v>
      </c>
      <c r="AB98" s="13">
        <f t="shared" si="75"/>
        <v>300.71652442290849</v>
      </c>
      <c r="AC98" s="88"/>
      <c r="AD98" s="88"/>
      <c r="AE98" s="88"/>
    </row>
    <row r="99" spans="9:31" ht="15.75" thickBot="1" x14ac:dyDescent="0.3">
      <c r="I99" s="1"/>
      <c r="J99" s="1"/>
      <c r="O99" s="14">
        <f t="shared" si="68"/>
        <v>12.5</v>
      </c>
      <c r="P99" s="20">
        <f t="shared" si="69"/>
        <v>45.611168499991045</v>
      </c>
      <c r="Q99" s="15">
        <f t="shared" si="70"/>
        <v>5.5985798680221299E-2</v>
      </c>
      <c r="R99" s="15"/>
      <c r="S99" s="16">
        <f t="shared" si="71"/>
        <v>4.6420606973700203</v>
      </c>
      <c r="T99" s="28">
        <f t="shared" si="57"/>
        <v>0</v>
      </c>
      <c r="U99" s="15">
        <f t="shared" si="54"/>
        <v>1.9418233110513626E-2</v>
      </c>
      <c r="V99" s="29">
        <f t="shared" si="72"/>
        <v>0</v>
      </c>
      <c r="W99" s="8">
        <f t="shared" si="59"/>
        <v>1.1668499504081071</v>
      </c>
      <c r="X99" s="8">
        <f t="shared" si="55"/>
        <v>2.018620119622403</v>
      </c>
      <c r="Y99" s="17">
        <f t="shared" si="73"/>
        <v>6.8032081885308321E-2</v>
      </c>
      <c r="Z99" s="18">
        <f t="shared" si="74"/>
        <v>1.4922573920582405</v>
      </c>
      <c r="AA99" s="8">
        <f t="shared" si="61"/>
        <v>37.006612927626279</v>
      </c>
      <c r="AB99" s="19">
        <f t="shared" si="75"/>
        <v>323.23607716918252</v>
      </c>
      <c r="AC99" s="88"/>
      <c r="AD99" s="88"/>
      <c r="AE99" s="88"/>
    </row>
    <row r="100" spans="9:31" ht="15.75" thickBot="1" x14ac:dyDescent="0.3">
      <c r="I100" s="1"/>
      <c r="J100" s="1"/>
      <c r="O100" s="14">
        <f t="shared" si="68"/>
        <v>13</v>
      </c>
      <c r="P100" s="20">
        <f t="shared" ref="P100:P111" si="76">P99+32.2*Y99*(O100-O99)</f>
        <v>46.706485018344509</v>
      </c>
      <c r="Q100" s="15">
        <f t="shared" ref="Q100:Q111" si="77">AA100/661</f>
        <v>5.696695250070672E-2</v>
      </c>
      <c r="R100" s="15"/>
      <c r="S100" s="16">
        <f t="shared" ref="S100:S111" si="78">1481*Q100^2</f>
        <v>4.8061910759595259</v>
      </c>
      <c r="T100" s="28">
        <f t="shared" si="57"/>
        <v>0</v>
      </c>
      <c r="U100" s="15">
        <f t="shared" ref="U100:U111" si="79">IF(T100&lt;$P$8,T100^2/(PI()*$P$12)+$P$11,99.999)</f>
        <v>1.9418233110513626E-2</v>
      </c>
      <c r="V100" s="29">
        <f t="shared" ref="V100:V111" si="80">T100*S100*$P$13</f>
        <v>0</v>
      </c>
      <c r="W100" s="8">
        <f t="shared" ref="W100:W111" si="81">IF(U100="","",S100*U100*$P$13+$V$12*($P$10-V100))</f>
        <v>1.1859726821199144</v>
      </c>
      <c r="X100" s="8">
        <f t="shared" si="55"/>
        <v>2.0008939218264734</v>
      </c>
      <c r="Y100" s="17">
        <f t="shared" ref="Y100:Y111" si="82">IF(U100="","",(X100-W100)/$P$10)</f>
        <v>6.5088906037803859E-2</v>
      </c>
      <c r="Z100" s="18">
        <f t="shared" ref="Z100:Z111" si="83">Q100/$V$9</f>
        <v>1.5184092747835076</v>
      </c>
      <c r="AA100" s="8">
        <f t="shared" ref="AA100:AA111" si="84">P100*3600/6080+$P$14</f>
        <v>37.655155602967142</v>
      </c>
      <c r="AB100" s="19">
        <f t="shared" ref="AB100:AB111" si="85">AB99+(P100+P99)/2*(O100-O99)</f>
        <v>346.31549054876643</v>
      </c>
      <c r="AC100" s="88"/>
      <c r="AD100" s="88"/>
      <c r="AE100" s="88"/>
    </row>
    <row r="101" spans="9:31" ht="15.75" thickBot="1" x14ac:dyDescent="0.3">
      <c r="I101" s="1"/>
      <c r="J101" s="1"/>
      <c r="O101" s="14">
        <f t="shared" si="68"/>
        <v>13.5</v>
      </c>
      <c r="P101" s="20">
        <f t="shared" si="76"/>
        <v>47.754416405553151</v>
      </c>
      <c r="Q101" s="15">
        <f t="shared" si="77"/>
        <v>5.7905660049563892E-2</v>
      </c>
      <c r="R101" s="15"/>
      <c r="S101" s="16">
        <f t="shared" si="78"/>
        <v>4.9658899548137523</v>
      </c>
      <c r="T101" s="28">
        <f t="shared" si="57"/>
        <v>0</v>
      </c>
      <c r="U101" s="15">
        <f t="shared" si="79"/>
        <v>1.9418233110513626E-2</v>
      </c>
      <c r="V101" s="29">
        <f t="shared" si="80"/>
        <v>0</v>
      </c>
      <c r="W101" s="8">
        <f t="shared" si="81"/>
        <v>1.2045791024623886</v>
      </c>
      <c r="X101" s="8">
        <f t="shared" si="55"/>
        <v>1.983777104695321</v>
      </c>
      <c r="Y101" s="17">
        <f t="shared" si="82"/>
        <v>6.2235640796951493E-2</v>
      </c>
      <c r="Z101" s="18">
        <f t="shared" si="83"/>
        <v>1.5434297855520331</v>
      </c>
      <c r="AA101" s="8">
        <f t="shared" si="84"/>
        <v>38.275641292761733</v>
      </c>
      <c r="AB101" s="19">
        <f t="shared" si="85"/>
        <v>369.93071590474085</v>
      </c>
      <c r="AC101" s="88"/>
      <c r="AD101" s="88"/>
      <c r="AE101" s="88"/>
    </row>
    <row r="102" spans="9:31" ht="15.75" thickBot="1" x14ac:dyDescent="0.3">
      <c r="I102" s="1"/>
      <c r="J102" s="1"/>
      <c r="O102" s="14">
        <f t="shared" si="68"/>
        <v>14</v>
      </c>
      <c r="P102" s="20">
        <f t="shared" si="76"/>
        <v>48.756410222384069</v>
      </c>
      <c r="Q102" s="15">
        <f t="shared" si="77"/>
        <v>5.880321801113312E-2</v>
      </c>
      <c r="R102" s="15"/>
      <c r="S102" s="16">
        <f t="shared" si="78"/>
        <v>5.1210291221764432</v>
      </c>
      <c r="T102" s="28">
        <f t="shared" si="57"/>
        <v>0</v>
      </c>
      <c r="U102" s="15">
        <f t="shared" si="79"/>
        <v>1.9418233110513626E-2</v>
      </c>
      <c r="V102" s="29">
        <f t="shared" si="80"/>
        <v>0</v>
      </c>
      <c r="W102" s="8">
        <f t="shared" si="81"/>
        <v>1.2226542735609069</v>
      </c>
      <c r="X102" s="8">
        <f t="shared" si="55"/>
        <v>1.9672666050292063</v>
      </c>
      <c r="Y102" s="17">
        <f t="shared" si="82"/>
        <v>5.9473234609742257E-2</v>
      </c>
      <c r="Z102" s="18">
        <f t="shared" si="83"/>
        <v>1.5673534864641645</v>
      </c>
      <c r="AA102" s="8">
        <f t="shared" si="84"/>
        <v>38.868927105358992</v>
      </c>
      <c r="AB102" s="19">
        <f t="shared" si="85"/>
        <v>394.05842256172514</v>
      </c>
      <c r="AC102" s="88"/>
      <c r="AD102" s="88"/>
      <c r="AE102" s="88"/>
    </row>
    <row r="103" spans="9:31" ht="15.75" thickBot="1" x14ac:dyDescent="0.3">
      <c r="I103" s="1"/>
      <c r="J103" s="1"/>
      <c r="O103" s="14">
        <f t="shared" si="68"/>
        <v>14.5</v>
      </c>
      <c r="P103" s="20">
        <f t="shared" si="76"/>
        <v>49.71392929960092</v>
      </c>
      <c r="Q103" s="15">
        <f t="shared" si="77"/>
        <v>5.9660936748189383E-2</v>
      </c>
      <c r="R103" s="15"/>
      <c r="S103" s="16">
        <f t="shared" si="78"/>
        <v>5.2715119404074242</v>
      </c>
      <c r="T103" s="28">
        <f t="shared" si="57"/>
        <v>0</v>
      </c>
      <c r="U103" s="15">
        <f t="shared" si="79"/>
        <v>1.9418233110513626E-2</v>
      </c>
      <c r="V103" s="29">
        <f t="shared" si="80"/>
        <v>0</v>
      </c>
      <c r="W103" s="8">
        <f t="shared" si="81"/>
        <v>1.2401869362221243</v>
      </c>
      <c r="X103" s="8">
        <f t="shared" si="55"/>
        <v>1.9513573845307595</v>
      </c>
      <c r="Y103" s="17">
        <f t="shared" si="82"/>
        <v>5.6802184347890708E-2</v>
      </c>
      <c r="Z103" s="18">
        <f t="shared" si="83"/>
        <v>1.5902153042081568</v>
      </c>
      <c r="AA103" s="8">
        <f t="shared" si="84"/>
        <v>39.43587919055318</v>
      </c>
      <c r="AB103" s="19">
        <f t="shared" si="85"/>
        <v>418.67600744222136</v>
      </c>
      <c r="AC103" s="88"/>
      <c r="AD103" s="88"/>
      <c r="AE103" s="88"/>
    </row>
    <row r="104" spans="9:31" ht="15.75" thickBot="1" x14ac:dyDescent="0.3">
      <c r="I104" s="1"/>
      <c r="J104" s="1"/>
      <c r="O104" s="14">
        <f t="shared" si="68"/>
        <v>15</v>
      </c>
      <c r="P104" s="20">
        <f t="shared" si="76"/>
        <v>50.628444467601959</v>
      </c>
      <c r="Q104" s="15">
        <f t="shared" si="77"/>
        <v>6.0480133789356003E-2</v>
      </c>
      <c r="R104" s="15"/>
      <c r="S104" s="16">
        <f t="shared" si="78"/>
        <v>5.4172707896872128</v>
      </c>
      <c r="T104" s="28">
        <f t="shared" si="57"/>
        <v>0</v>
      </c>
      <c r="U104" s="15">
        <f t="shared" si="79"/>
        <v>1.9418233110513626E-2</v>
      </c>
      <c r="V104" s="29">
        <f t="shared" si="80"/>
        <v>0</v>
      </c>
      <c r="W104" s="8">
        <f t="shared" si="81"/>
        <v>1.2571692121015352</v>
      </c>
      <c r="X104" s="8">
        <f t="shared" si="55"/>
        <v>1.9360426340151442</v>
      </c>
      <c r="Y104" s="17">
        <f t="shared" si="82"/>
        <v>5.4222575406683959E-2</v>
      </c>
      <c r="Z104" s="18">
        <f t="shared" si="83"/>
        <v>1.6120503564723125</v>
      </c>
      <c r="AA104" s="8">
        <f t="shared" si="84"/>
        <v>39.977368434764315</v>
      </c>
      <c r="AB104" s="19">
        <f t="shared" si="85"/>
        <v>443.76160088402207</v>
      </c>
      <c r="AC104" s="88"/>
      <c r="AD104" s="88"/>
      <c r="AE104" s="88"/>
    </row>
    <row r="105" spans="9:31" ht="15.75" thickBot="1" x14ac:dyDescent="0.3">
      <c r="I105" s="1"/>
      <c r="J105" s="1"/>
      <c r="O105" s="14">
        <f t="shared" si="68"/>
        <v>15.5</v>
      </c>
      <c r="P105" s="20">
        <f t="shared" si="76"/>
        <v>51.501427931649573</v>
      </c>
      <c r="Q105" s="15">
        <f t="shared" si="77"/>
        <v>6.1262127894821064E-2</v>
      </c>
      <c r="R105" s="15"/>
      <c r="S105" s="16">
        <f t="shared" si="78"/>
        <v>5.5582645533322932</v>
      </c>
      <c r="T105" s="28">
        <f t="shared" si="57"/>
        <v>0</v>
      </c>
      <c r="U105" s="15">
        <f t="shared" si="79"/>
        <v>1.9418233110513626E-2</v>
      </c>
      <c r="V105" s="29">
        <f t="shared" si="80"/>
        <v>0</v>
      </c>
      <c r="W105" s="8">
        <f t="shared" si="81"/>
        <v>1.2735963107190682</v>
      </c>
      <c r="X105" s="8">
        <f t="shared" si="55"/>
        <v>1.9213139704250493</v>
      </c>
      <c r="Y105" s="17">
        <f t="shared" si="82"/>
        <v>5.1734120841922984E-2</v>
      </c>
      <c r="Z105" s="18">
        <f t="shared" si="83"/>
        <v>1.6328937937713228</v>
      </c>
      <c r="AA105" s="8">
        <f t="shared" si="84"/>
        <v>40.494266538476722</v>
      </c>
      <c r="AB105" s="19">
        <f t="shared" si="85"/>
        <v>469.29406898383496</v>
      </c>
      <c r="AC105" s="88"/>
      <c r="AD105" s="88"/>
      <c r="AE105" s="88"/>
    </row>
    <row r="106" spans="9:31" ht="15.75" thickBot="1" x14ac:dyDescent="0.3">
      <c r="I106" s="1"/>
      <c r="J106" s="1"/>
      <c r="O106" s="14">
        <f t="shared" si="68"/>
        <v>16</v>
      </c>
      <c r="P106" s="20">
        <f t="shared" si="76"/>
        <v>52.334347277204536</v>
      </c>
      <c r="Q106" s="15">
        <f t="shared" si="77"/>
        <v>6.2008233686483873E-2</v>
      </c>
      <c r="R106" s="15"/>
      <c r="S106" s="16">
        <f t="shared" si="78"/>
        <v>5.6944761675229554</v>
      </c>
      <c r="T106" s="28">
        <f t="shared" si="57"/>
        <v>0</v>
      </c>
      <c r="U106" s="15">
        <f t="shared" si="79"/>
        <v>1.9418233110513626E-2</v>
      </c>
      <c r="V106" s="29">
        <f t="shared" si="80"/>
        <v>0</v>
      </c>
      <c r="W106" s="8">
        <f t="shared" si="81"/>
        <v>1.2894662439793501</v>
      </c>
      <c r="X106" s="8">
        <f t="shared" ref="X106:X134" si="86">$P$9*($G$34*AA106^2+$G$35*AA106+$G$36)</f>
        <v>1.9071616254188153</v>
      </c>
      <c r="Y106" s="17">
        <f t="shared" si="82"/>
        <v>4.9336199234389852E-2</v>
      </c>
      <c r="Z106" s="18">
        <f t="shared" si="83"/>
        <v>1.6527806563170495</v>
      </c>
      <c r="AA106" s="8">
        <f t="shared" si="84"/>
        <v>40.987442466765842</v>
      </c>
      <c r="AB106" s="19">
        <f t="shared" si="85"/>
        <v>495.25301278604849</v>
      </c>
      <c r="AC106" s="88"/>
      <c r="AD106" s="88"/>
      <c r="AE106" s="88"/>
    </row>
    <row r="107" spans="9:31" ht="15.75" thickBot="1" x14ac:dyDescent="0.3">
      <c r="I107" s="1"/>
      <c r="J107" s="1"/>
      <c r="O107" s="14">
        <f t="shared" si="68"/>
        <v>16.5</v>
      </c>
      <c r="P107" s="20">
        <f t="shared" si="76"/>
        <v>53.128660084878213</v>
      </c>
      <c r="Q107" s="15">
        <f t="shared" si="77"/>
        <v>6.2719756824180253E-2</v>
      </c>
      <c r="R107" s="15"/>
      <c r="S107" s="16">
        <f t="shared" si="78"/>
        <v>5.8259102541008563</v>
      </c>
      <c r="T107" s="28">
        <f t="shared" si="57"/>
        <v>0</v>
      </c>
      <c r="U107" s="15">
        <f t="shared" si="79"/>
        <v>1.9418233110513626E-2</v>
      </c>
      <c r="V107" s="29">
        <f t="shared" si="80"/>
        <v>0</v>
      </c>
      <c r="W107" s="8">
        <f t="shared" si="81"/>
        <v>1.3047795503703727</v>
      </c>
      <c r="X107" s="8">
        <f t="shared" si="86"/>
        <v>1.8935746245812786</v>
      </c>
      <c r="Y107" s="17">
        <f t="shared" si="82"/>
        <v>4.7027891032310448E-2</v>
      </c>
      <c r="Z107" s="18">
        <f t="shared" si="83"/>
        <v>1.6717457454446072</v>
      </c>
      <c r="AA107" s="8">
        <f t="shared" si="84"/>
        <v>41.457759260783149</v>
      </c>
      <c r="AB107" s="19">
        <f t="shared" si="85"/>
        <v>521.61876462656915</v>
      </c>
      <c r="AC107" s="88"/>
      <c r="AD107" s="88"/>
      <c r="AE107" s="88"/>
    </row>
    <row r="108" spans="9:31" ht="15.75" thickBot="1" x14ac:dyDescent="0.3">
      <c r="I108" s="1"/>
      <c r="J108" s="1"/>
      <c r="O108" s="14">
        <f t="shared" si="68"/>
        <v>17</v>
      </c>
      <c r="P108" s="20">
        <f t="shared" si="76"/>
        <v>53.885809130498409</v>
      </c>
      <c r="Q108" s="15">
        <f t="shared" si="77"/>
        <v>6.3397989706036079E-2</v>
      </c>
      <c r="R108" s="15"/>
      <c r="S108" s="16">
        <f t="shared" si="78"/>
        <v>5.9525908512734178</v>
      </c>
      <c r="T108" s="28">
        <f t="shared" si="57"/>
        <v>0</v>
      </c>
      <c r="U108" s="15">
        <f t="shared" si="79"/>
        <v>1.9418233110513626E-2</v>
      </c>
      <c r="V108" s="29">
        <f t="shared" si="80"/>
        <v>0</v>
      </c>
      <c r="W108" s="8">
        <f t="shared" si="81"/>
        <v>1.3195390305692278</v>
      </c>
      <c r="X108" s="8">
        <f t="shared" si="86"/>
        <v>1.8805409565618003</v>
      </c>
      <c r="Y108" s="17">
        <f t="shared" si="82"/>
        <v>4.4808013178188916E-2</v>
      </c>
      <c r="Z108" s="18">
        <f t="shared" si="83"/>
        <v>1.6898235090086711</v>
      </c>
      <c r="AA108" s="8">
        <f t="shared" si="84"/>
        <v>41.906071195689847</v>
      </c>
      <c r="AB108" s="19">
        <f t="shared" si="85"/>
        <v>548.37238193041333</v>
      </c>
      <c r="AC108" s="88"/>
      <c r="AD108" s="88"/>
      <c r="AE108" s="88"/>
    </row>
    <row r="109" spans="9:31" ht="15.75" thickBot="1" x14ac:dyDescent="0.3">
      <c r="I109" s="1"/>
      <c r="J109" s="1"/>
      <c r="O109" s="14">
        <f t="shared" si="68"/>
        <v>17.5</v>
      </c>
      <c r="P109" s="20">
        <f t="shared" si="76"/>
        <v>54.60721814266725</v>
      </c>
      <c r="Q109" s="15">
        <f t="shared" si="77"/>
        <v>6.4044207668206593E-2</v>
      </c>
      <c r="R109" s="15"/>
      <c r="S109" s="16">
        <f t="shared" si="78"/>
        <v>6.0745592535914383</v>
      </c>
      <c r="T109" s="28">
        <f t="shared" si="57"/>
        <v>0</v>
      </c>
      <c r="U109" s="15">
        <f t="shared" si="79"/>
        <v>1.9418233110513626E-2</v>
      </c>
      <c r="V109" s="29">
        <f t="shared" si="80"/>
        <v>0</v>
      </c>
      <c r="W109" s="8">
        <f t="shared" si="81"/>
        <v>1.3337494957791973</v>
      </c>
      <c r="X109" s="8">
        <f t="shared" si="86"/>
        <v>1.86804773167163</v>
      </c>
      <c r="Y109" s="17">
        <f t="shared" si="82"/>
        <v>4.2675151876872847E-2</v>
      </c>
      <c r="Z109" s="18">
        <f t="shared" si="83"/>
        <v>1.7070479400905203</v>
      </c>
      <c r="AA109" s="8">
        <f t="shared" si="84"/>
        <v>42.333221268684561</v>
      </c>
      <c r="AB109" s="19">
        <f t="shared" si="85"/>
        <v>575.49563874870478</v>
      </c>
      <c r="AC109" s="88"/>
      <c r="AD109" s="88"/>
      <c r="AE109" s="88"/>
    </row>
    <row r="110" spans="9:31" ht="15.75" thickBot="1" x14ac:dyDescent="0.3">
      <c r="I110" s="1"/>
      <c r="J110" s="1"/>
      <c r="O110" s="14">
        <f t="shared" si="68"/>
        <v>18</v>
      </c>
      <c r="P110" s="20">
        <f t="shared" si="76"/>
        <v>55.294288087884901</v>
      </c>
      <c r="Q110" s="15">
        <f t="shared" si="77"/>
        <v>6.4659665657194457E-2</v>
      </c>
      <c r="R110" s="15"/>
      <c r="S110" s="16">
        <f t="shared" si="78"/>
        <v>6.1918719694551552</v>
      </c>
      <c r="T110" s="28">
        <f t="shared" si="57"/>
        <v>0</v>
      </c>
      <c r="U110" s="15">
        <f t="shared" si="79"/>
        <v>1.9418233110513626E-2</v>
      </c>
      <c r="V110" s="29">
        <f t="shared" si="80"/>
        <v>0</v>
      </c>
      <c r="W110" s="8">
        <f t="shared" si="81"/>
        <v>1.3474175297600119</v>
      </c>
      <c r="X110" s="8">
        <f t="shared" si="86"/>
        <v>1.8560813296732301</v>
      </c>
      <c r="Y110" s="17">
        <f t="shared" si="82"/>
        <v>4.0627693406672709E-2</v>
      </c>
      <c r="Z110" s="18">
        <f t="shared" si="83"/>
        <v>1.7234524883012954</v>
      </c>
      <c r="AA110" s="8">
        <f t="shared" si="84"/>
        <v>42.740038999405535</v>
      </c>
      <c r="AB110" s="19">
        <f t="shared" si="85"/>
        <v>602.97101530634279</v>
      </c>
      <c r="AC110" s="88"/>
      <c r="AD110" s="88"/>
      <c r="AE110" s="88"/>
    </row>
    <row r="111" spans="9:31" ht="15.75" thickBot="1" x14ac:dyDescent="0.3">
      <c r="I111" s="1"/>
      <c r="J111" s="1"/>
      <c r="O111" s="14">
        <f t="shared" si="68"/>
        <v>18.5</v>
      </c>
      <c r="P111" s="20">
        <f t="shared" si="76"/>
        <v>55.948393951732335</v>
      </c>
      <c r="Q111" s="15">
        <f t="shared" si="77"/>
        <v>6.5245595346523508E-2</v>
      </c>
      <c r="R111" s="15"/>
      <c r="S111" s="16">
        <f t="shared" si="78"/>
        <v>6.3045988016531123</v>
      </c>
      <c r="T111" s="28">
        <f t="shared" si="57"/>
        <v>0</v>
      </c>
      <c r="U111" s="15">
        <f t="shared" si="79"/>
        <v>1.9418233110513626E-2</v>
      </c>
      <c r="V111" s="29">
        <f t="shared" si="80"/>
        <v>0</v>
      </c>
      <c r="W111" s="8">
        <f t="shared" si="81"/>
        <v>1.3605512651925902</v>
      </c>
      <c r="X111" s="8">
        <f t="shared" si="86"/>
        <v>1.8446275366681177</v>
      </c>
      <c r="Y111" s="17">
        <f t="shared" si="82"/>
        <v>3.8663852914849299E-2</v>
      </c>
      <c r="Z111" s="18">
        <f t="shared" si="83"/>
        <v>1.7390699829292064</v>
      </c>
      <c r="AA111" s="8">
        <f t="shared" si="84"/>
        <v>43.127338524052043</v>
      </c>
      <c r="AB111" s="19">
        <f t="shared" si="85"/>
        <v>630.78168581624709</v>
      </c>
      <c r="AC111" s="88"/>
      <c r="AD111" s="88"/>
      <c r="AE111" s="88"/>
    </row>
    <row r="112" spans="9:31" ht="15.75" thickBot="1" x14ac:dyDescent="0.3">
      <c r="I112" s="1"/>
      <c r="J112" s="1"/>
      <c r="O112" s="14">
        <f t="shared" si="68"/>
        <v>19</v>
      </c>
      <c r="P112" s="20">
        <f t="shared" ref="P112:P114" si="87">P111+32.2*Y111*(O112-O111)</f>
        <v>56.570881983661408</v>
      </c>
      <c r="Q112" s="15">
        <f t="shared" ref="Q112:Q114" si="88">AA112/661</f>
        <v>6.5803202668699004E-2</v>
      </c>
      <c r="R112" s="15"/>
      <c r="S112" s="16">
        <f t="shared" ref="S112:S114" si="89">1481*Q112^2</f>
        <v>6.4128210540391137</v>
      </c>
      <c r="T112" s="28">
        <f t="shared" si="57"/>
        <v>0</v>
      </c>
      <c r="U112" s="15">
        <f t="shared" ref="U112:U114" si="90">IF(T112&lt;$P$8,T112^2/(PI()*$P$12)+$P$11,99.999)</f>
        <v>1.9418233110513626E-2</v>
      </c>
      <c r="V112" s="29">
        <f t="shared" ref="V112:V114" si="91">T112*S112*$P$13</f>
        <v>0</v>
      </c>
      <c r="W112" s="8">
        <f t="shared" ref="W112:W114" si="92">IF(U112="","",S112*U112*$P$13+$V$12*($P$10-V112))</f>
        <v>1.3731601747400473</v>
      </c>
      <c r="X112" s="8">
        <f t="shared" si="86"/>
        <v>1.8336716711382639</v>
      </c>
      <c r="Y112" s="17">
        <f t="shared" ref="Y112:Y114" si="93">IF(U112="","",(X112-W112)/$P$10)</f>
        <v>3.6781701172968854E-2</v>
      </c>
      <c r="Z112" s="18">
        <f t="shared" ref="Z112:Z114" si="94">Q112/$V$9</f>
        <v>1.7539325671558765</v>
      </c>
      <c r="AA112" s="8">
        <f t="shared" ref="AA112:AA114" si="95">P112*3600/6080+$P$14</f>
        <v>43.495916964010043</v>
      </c>
      <c r="AB112" s="19">
        <f t="shared" ref="AB112:AB114" si="96">AB111+(P112+P111)/2*(O112-O111)</f>
        <v>658.91150480009549</v>
      </c>
      <c r="AC112" s="88"/>
      <c r="AD112" s="88"/>
      <c r="AE112" s="88"/>
    </row>
    <row r="113" spans="9:31" ht="15.75" thickBot="1" x14ac:dyDescent="0.3">
      <c r="I113" s="1"/>
      <c r="J113" s="1"/>
      <c r="O113" s="14">
        <f t="shared" si="68"/>
        <v>19.5</v>
      </c>
      <c r="P113" s="20">
        <f t="shared" si="87"/>
        <v>57.163067372546209</v>
      </c>
      <c r="Q113" s="15">
        <f t="shared" si="88"/>
        <v>6.6333665733031677E-2</v>
      </c>
      <c r="R113" s="15"/>
      <c r="S113" s="16">
        <f t="shared" si="89"/>
        <v>6.5166298653903212</v>
      </c>
      <c r="T113" s="28">
        <f t="shared" si="57"/>
        <v>0</v>
      </c>
      <c r="U113" s="15">
        <f t="shared" si="90"/>
        <v>1.9418233110513626E-2</v>
      </c>
      <c r="V113" s="29">
        <f t="shared" si="91"/>
        <v>0</v>
      </c>
      <c r="W113" s="8">
        <f t="shared" si="92"/>
        <v>1.3852548769265058</v>
      </c>
      <c r="X113" s="8">
        <f t="shared" si="86"/>
        <v>1.8231986993206601</v>
      </c>
      <c r="Y113" s="17">
        <f t="shared" si="93"/>
        <v>3.4979189296764551E-2</v>
      </c>
      <c r="Z113" s="18">
        <f t="shared" si="94"/>
        <v>1.7680716425575811</v>
      </c>
      <c r="AA113" s="8">
        <f t="shared" si="95"/>
        <v>43.846553049533938</v>
      </c>
      <c r="AB113" s="19">
        <f t="shared" si="96"/>
        <v>687.34499213914739</v>
      </c>
      <c r="AC113" s="88"/>
      <c r="AD113" s="88"/>
      <c r="AE113" s="88"/>
    </row>
    <row r="114" spans="9:31" ht="15.75" thickBot="1" x14ac:dyDescent="0.3">
      <c r="I114" s="1"/>
      <c r="J114" s="1"/>
      <c r="O114" s="14">
        <f t="shared" si="68"/>
        <v>20</v>
      </c>
      <c r="P114" s="20">
        <f t="shared" si="87"/>
        <v>57.726232320224121</v>
      </c>
      <c r="Q114" s="15">
        <f t="shared" si="88"/>
        <v>6.6838133099969846E-2</v>
      </c>
      <c r="R114" s="15"/>
      <c r="S114" s="16">
        <f t="shared" si="89"/>
        <v>6.6161246697444307</v>
      </c>
      <c r="T114" s="28">
        <f t="shared" si="57"/>
        <v>0</v>
      </c>
      <c r="U114" s="15">
        <f t="shared" si="90"/>
        <v>1.9418233110513626E-2</v>
      </c>
      <c r="V114" s="29">
        <f t="shared" si="91"/>
        <v>0</v>
      </c>
      <c r="W114" s="8">
        <f t="shared" si="92"/>
        <v>1.396846956751904</v>
      </c>
      <c r="X114" s="8">
        <f t="shared" si="86"/>
        <v>1.8131933401970968</v>
      </c>
      <c r="Y114" s="17">
        <f t="shared" si="93"/>
        <v>3.3254171459565524E-2</v>
      </c>
      <c r="Z114" s="18">
        <f t="shared" si="94"/>
        <v>1.7815178231089284</v>
      </c>
      <c r="AA114" s="8">
        <f t="shared" si="95"/>
        <v>44.180005979080072</v>
      </c>
      <c r="AB114" s="19">
        <f t="shared" si="96"/>
        <v>716.06731706233995</v>
      </c>
      <c r="AC114" s="88"/>
      <c r="AD114" s="88"/>
      <c r="AE114" s="88"/>
    </row>
    <row r="115" spans="9:31" ht="15.75" thickBot="1" x14ac:dyDescent="0.3">
      <c r="I115" s="1"/>
      <c r="J115" s="1"/>
      <c r="O115" s="14">
        <f t="shared" si="68"/>
        <v>20.5</v>
      </c>
      <c r="P115" s="20">
        <f t="shared" ref="P115:P134" si="97">P114+32.2*Y114*(O115-O114)</f>
        <v>58.261624480723128</v>
      </c>
      <c r="Q115" s="15">
        <f t="shared" ref="Q115:Q134" si="98">AA115/661</f>
        <v>6.7317722383003042E-2</v>
      </c>
      <c r="R115" s="15"/>
      <c r="S115" s="16">
        <f t="shared" ref="S115:S134" si="99">1481*Q115^2</f>
        <v>6.7114117810627372</v>
      </c>
      <c r="T115" s="28">
        <f t="shared" si="57"/>
        <v>0</v>
      </c>
      <c r="U115" s="15">
        <f t="shared" ref="U115:U134" si="100">IF(T115&lt;$P$8,T115^2/(PI()*$P$12)+$P$11,99.999)</f>
        <v>1.9418233110513626E-2</v>
      </c>
      <c r="V115" s="29">
        <f t="shared" ref="V115:V134" si="101">T115*S115*$P$13</f>
        <v>0</v>
      </c>
      <c r="W115" s="8">
        <f t="shared" ref="W115:W134" si="102">IF(U115="","",S115*U115*$P$13+$V$12*($P$10-V115))</f>
        <v>1.4079488007919423</v>
      </c>
      <c r="X115" s="8">
        <f t="shared" si="86"/>
        <v>1.8036401604633687</v>
      </c>
      <c r="Y115" s="17">
        <f t="shared" ref="Y115:Y134" si="103">IF(U115="","",(X115-W115)/$P$10)</f>
        <v>3.1604425648420156E-2</v>
      </c>
      <c r="Z115" s="18">
        <f t="shared" ref="Z115:Z134" si="104">Q115/$V$9</f>
        <v>1.794300897917702</v>
      </c>
      <c r="AA115" s="8">
        <f t="shared" ref="AA115:AA134" si="105">P115*3600/6080+$P$14</f>
        <v>44.497014495165011</v>
      </c>
      <c r="AB115" s="19">
        <f t="shared" ref="AB115:AB134" si="106">AB114+(P115+P114)/2*(O115-O114)</f>
        <v>745.06428126257674</v>
      </c>
      <c r="AC115" s="88"/>
      <c r="AD115" s="88"/>
      <c r="AE115" s="88"/>
    </row>
    <row r="116" spans="9:31" ht="15.75" thickBot="1" x14ac:dyDescent="0.3">
      <c r="I116" s="1"/>
      <c r="J116" s="1"/>
      <c r="O116" s="14">
        <f t="shared" si="68"/>
        <v>21</v>
      </c>
      <c r="P116" s="20">
        <f t="shared" si="97"/>
        <v>58.770455733662693</v>
      </c>
      <c r="Q116" s="15">
        <f t="shared" si="98"/>
        <v>6.7773519149908854E-2</v>
      </c>
      <c r="R116" s="15"/>
      <c r="S116" s="16">
        <f t="shared" si="99"/>
        <v>6.8026030988832948</v>
      </c>
      <c r="T116" s="28">
        <f t="shared" si="57"/>
        <v>0</v>
      </c>
      <c r="U116" s="15">
        <f t="shared" si="100"/>
        <v>1.9418233110513626E-2</v>
      </c>
      <c r="V116" s="29">
        <f t="shared" si="101"/>
        <v>0</v>
      </c>
      <c r="W116" s="8">
        <f t="shared" si="102"/>
        <v>1.4185734463945092</v>
      </c>
      <c r="X116" s="8">
        <f t="shared" si="86"/>
        <v>1.7945236599061034</v>
      </c>
      <c r="Y116" s="17">
        <f t="shared" si="103"/>
        <v>3.00276725281572E-2</v>
      </c>
      <c r="Z116" s="18">
        <f t="shared" si="104"/>
        <v>1.8064498019384592</v>
      </c>
      <c r="AA116" s="8">
        <f t="shared" si="105"/>
        <v>44.798296158089748</v>
      </c>
      <c r="AB116" s="19">
        <f t="shared" si="106"/>
        <v>774.32230131617325</v>
      </c>
      <c r="AC116" s="88"/>
      <c r="AD116" s="88"/>
      <c r="AE116" s="88"/>
    </row>
    <row r="117" spans="9:31" ht="15.75" thickBot="1" x14ac:dyDescent="0.3">
      <c r="I117" s="1"/>
      <c r="J117" s="1"/>
      <c r="O117" s="14">
        <f t="shared" si="68"/>
        <v>21.5</v>
      </c>
      <c r="P117" s="20">
        <f t="shared" si="97"/>
        <v>59.253901261366025</v>
      </c>
      <c r="Q117" s="15">
        <f t="shared" si="98"/>
        <v>6.8206576096056043E-2</v>
      </c>
      <c r="R117" s="15"/>
      <c r="S117" s="16">
        <f t="shared" si="99"/>
        <v>6.8898149306884306</v>
      </c>
      <c r="T117" s="28">
        <f t="shared" si="57"/>
        <v>0</v>
      </c>
      <c r="U117" s="15">
        <f t="shared" si="100"/>
        <v>1.9418233110513626E-2</v>
      </c>
      <c r="V117" s="29">
        <f t="shared" si="101"/>
        <v>0</v>
      </c>
      <c r="W117" s="8">
        <f t="shared" si="102"/>
        <v>1.4287344444744314</v>
      </c>
      <c r="X117" s="8">
        <f t="shared" si="86"/>
        <v>1.7858283476631505</v>
      </c>
      <c r="Y117" s="17">
        <f t="shared" si="103"/>
        <v>2.8521592491186711E-2</v>
      </c>
      <c r="Z117" s="18">
        <f t="shared" si="104"/>
        <v>1.8179925939375776</v>
      </c>
      <c r="AA117" s="8">
        <f t="shared" si="105"/>
        <v>45.08454679949304</v>
      </c>
      <c r="AB117" s="19">
        <f t="shared" si="106"/>
        <v>803.82839056493049</v>
      </c>
      <c r="AC117" s="88"/>
      <c r="AD117" s="88"/>
      <c r="AE117" s="88"/>
    </row>
    <row r="118" spans="9:31" ht="15.75" thickBot="1" x14ac:dyDescent="0.3">
      <c r="I118" s="1"/>
      <c r="J118" s="1"/>
      <c r="O118" s="14">
        <f t="shared" si="68"/>
        <v>22</v>
      </c>
      <c r="P118" s="20">
        <f t="shared" si="97"/>
        <v>59.713098900474129</v>
      </c>
      <c r="Q118" s="15">
        <f t="shared" si="98"/>
        <v>6.8617912463598524E-2</v>
      </c>
      <c r="R118" s="15"/>
      <c r="S118" s="16">
        <f t="shared" si="99"/>
        <v>6.9731669259867246</v>
      </c>
      <c r="T118" s="28">
        <f t="shared" si="57"/>
        <v>0</v>
      </c>
      <c r="U118" s="15">
        <f t="shared" si="100"/>
        <v>1.9418233110513626E-2</v>
      </c>
      <c r="V118" s="29">
        <f t="shared" si="101"/>
        <v>0</v>
      </c>
      <c r="W118" s="8">
        <f t="shared" si="102"/>
        <v>1.4384457353240037</v>
      </c>
      <c r="X118" s="8">
        <f t="shared" si="86"/>
        <v>1.7775388098770075</v>
      </c>
      <c r="Y118" s="17">
        <f t="shared" si="103"/>
        <v>2.7083840980262085E-2</v>
      </c>
      <c r="Z118" s="18">
        <f t="shared" si="104"/>
        <v>1.8289564410123269</v>
      </c>
      <c r="AA118" s="8">
        <f t="shared" si="105"/>
        <v>45.356440138438629</v>
      </c>
      <c r="AB118" s="19">
        <f t="shared" si="106"/>
        <v>833.57014060539052</v>
      </c>
      <c r="AC118" s="88"/>
      <c r="AD118" s="88"/>
      <c r="AE118" s="88"/>
    </row>
    <row r="119" spans="9:31" ht="15.75" thickBot="1" x14ac:dyDescent="0.3">
      <c r="I119" s="1"/>
      <c r="J119" s="1"/>
      <c r="O119" s="14">
        <f t="shared" si="68"/>
        <v>22.5</v>
      </c>
      <c r="P119" s="20">
        <f t="shared" si="97"/>
        <v>60.149148740256351</v>
      </c>
      <c r="Q119" s="15">
        <f t="shared" si="98"/>
        <v>6.9008513681653311E-2</v>
      </c>
      <c r="R119" s="15"/>
      <c r="S119" s="16">
        <f t="shared" si="99"/>
        <v>7.0527811165759307</v>
      </c>
      <c r="T119" s="28">
        <f t="shared" si="57"/>
        <v>0</v>
      </c>
      <c r="U119" s="15">
        <f t="shared" si="100"/>
        <v>1.9418233110513626E-2</v>
      </c>
      <c r="V119" s="29">
        <f t="shared" si="101"/>
        <v>0</v>
      </c>
      <c r="W119" s="8">
        <f t="shared" si="102"/>
        <v>1.4477215367945999</v>
      </c>
      <c r="X119" s="8">
        <f t="shared" si="86"/>
        <v>1.7696397692719219</v>
      </c>
      <c r="Y119" s="17">
        <f t="shared" si="103"/>
        <v>2.5712062178079052E-2</v>
      </c>
      <c r="Z119" s="18">
        <f t="shared" si="104"/>
        <v>1.8393676090000961</v>
      </c>
      <c r="AA119" s="8">
        <f t="shared" si="105"/>
        <v>45.614627543572837</v>
      </c>
      <c r="AB119" s="19">
        <f t="shared" si="106"/>
        <v>863.53570251557312</v>
      </c>
      <c r="AC119" s="88"/>
      <c r="AD119" s="88"/>
      <c r="AE119" s="88"/>
    </row>
    <row r="120" spans="9:31" ht="15.75" thickBot="1" x14ac:dyDescent="0.3">
      <c r="I120" s="1"/>
      <c r="J120" s="1"/>
      <c r="O120" s="14">
        <f t="shared" si="68"/>
        <v>23</v>
      </c>
      <c r="P120" s="20">
        <f t="shared" si="97"/>
        <v>60.563112941323425</v>
      </c>
      <c r="Q120" s="15">
        <f t="shared" si="98"/>
        <v>6.9379331203908629E-2</v>
      </c>
      <c r="R120" s="15"/>
      <c r="S120" s="16">
        <f t="shared" si="99"/>
        <v>7.1287810570847423</v>
      </c>
      <c r="T120" s="28">
        <f t="shared" si="57"/>
        <v>0</v>
      </c>
      <c r="U120" s="15">
        <f t="shared" si="100"/>
        <v>1.9418233110513626E-2</v>
      </c>
      <c r="V120" s="29">
        <f t="shared" si="101"/>
        <v>0</v>
      </c>
      <c r="W120" s="8">
        <f t="shared" si="102"/>
        <v>1.4565762441617116</v>
      </c>
      <c r="X120" s="8">
        <f t="shared" si="86"/>
        <v>1.7621161371959722</v>
      </c>
      <c r="Y120" s="17">
        <f t="shared" si="103"/>
        <v>2.4403901161870231E-2</v>
      </c>
      <c r="Z120" s="18">
        <f t="shared" si="104"/>
        <v>1.8492514581499646</v>
      </c>
      <c r="AA120" s="8">
        <f t="shared" si="105"/>
        <v>45.859737925783605</v>
      </c>
      <c r="AB120" s="19">
        <f t="shared" si="106"/>
        <v>893.71376793596801</v>
      </c>
      <c r="AC120" s="88"/>
      <c r="AD120" s="88"/>
      <c r="AE120" s="88"/>
    </row>
    <row r="121" spans="9:31" ht="15.75" thickBot="1" x14ac:dyDescent="0.3">
      <c r="I121" s="1"/>
      <c r="J121" s="1"/>
      <c r="O121" s="14">
        <f t="shared" si="68"/>
        <v>23.5</v>
      </c>
      <c r="P121" s="20">
        <f t="shared" si="97"/>
        <v>60.956015750029536</v>
      </c>
      <c r="Q121" s="15">
        <f t="shared" si="98"/>
        <v>6.9731282521524995E-2</v>
      </c>
      <c r="R121" s="15"/>
      <c r="S121" s="16">
        <f t="shared" si="99"/>
        <v>7.2012910596652686</v>
      </c>
      <c r="T121" s="28">
        <f t="shared" si="57"/>
        <v>0</v>
      </c>
      <c r="U121" s="15">
        <f t="shared" si="100"/>
        <v>1.9418233110513626E-2</v>
      </c>
      <c r="V121" s="29">
        <f t="shared" si="101"/>
        <v>0</v>
      </c>
      <c r="W121" s="8">
        <f t="shared" si="102"/>
        <v>1.4650243409594272</v>
      </c>
      <c r="X121" s="8">
        <f t="shared" si="86"/>
        <v>1.7549530586711588</v>
      </c>
      <c r="Y121" s="17">
        <f t="shared" si="103"/>
        <v>2.315701462339486E-2</v>
      </c>
      <c r="Z121" s="18">
        <f t="shared" si="104"/>
        <v>1.8586324434665715</v>
      </c>
      <c r="AA121" s="8">
        <f t="shared" si="105"/>
        <v>46.092377746728019</v>
      </c>
      <c r="AB121" s="19">
        <f t="shared" si="106"/>
        <v>924.0935501088062</v>
      </c>
      <c r="AC121" s="88"/>
      <c r="AD121" s="88"/>
      <c r="AE121" s="88"/>
    </row>
    <row r="122" spans="9:31" ht="15.75" thickBot="1" x14ac:dyDescent="0.3">
      <c r="I122" s="1"/>
      <c r="J122" s="1"/>
      <c r="O122" s="14">
        <f t="shared" si="68"/>
        <v>24</v>
      </c>
      <c r="P122" s="20">
        <f t="shared" si="97"/>
        <v>61.328843685466197</v>
      </c>
      <c r="Q122" s="15">
        <f t="shared" si="98"/>
        <v>7.0065251330638956E-2</v>
      </c>
      <c r="R122" s="15"/>
      <c r="S122" s="16">
        <f t="shared" si="99"/>
        <v>7.2704355166019203</v>
      </c>
      <c r="T122" s="28">
        <f t="shared" si="57"/>
        <v>0</v>
      </c>
      <c r="U122" s="15">
        <f t="shared" si="100"/>
        <v>1.9418233110513626E-2</v>
      </c>
      <c r="V122" s="29">
        <f t="shared" si="101"/>
        <v>0</v>
      </c>
      <c r="W122" s="8">
        <f t="shared" si="102"/>
        <v>1.473080320058002</v>
      </c>
      <c r="X122" s="8">
        <f t="shared" si="86"/>
        <v>1.7481359509889283</v>
      </c>
      <c r="Y122" s="17">
        <f t="shared" si="103"/>
        <v>2.1969080255263125E-2</v>
      </c>
      <c r="Z122" s="18">
        <f t="shared" si="104"/>
        <v>1.8675341191747945</v>
      </c>
      <c r="AA122" s="8">
        <f t="shared" si="105"/>
        <v>46.313131129552353</v>
      </c>
      <c r="AB122" s="19">
        <f t="shared" si="106"/>
        <v>954.66476496768018</v>
      </c>
      <c r="AC122" s="88"/>
      <c r="AD122" s="88"/>
      <c r="AE122" s="88"/>
    </row>
    <row r="123" spans="9:31" ht="15.75" thickBot="1" x14ac:dyDescent="0.3">
      <c r="I123" s="1"/>
      <c r="J123" s="1"/>
      <c r="O123" s="14">
        <f t="shared" si="68"/>
        <v>24.5</v>
      </c>
      <c r="P123" s="20">
        <f t="shared" si="97"/>
        <v>61.682545877575933</v>
      </c>
      <c r="Q123" s="15">
        <f t="shared" si="98"/>
        <v>7.0382087835236029E-2</v>
      </c>
      <c r="R123" s="15"/>
      <c r="S123" s="16">
        <f t="shared" si="99"/>
        <v>7.3363383045974286</v>
      </c>
      <c r="T123" s="28">
        <f t="shared" si="57"/>
        <v>0</v>
      </c>
      <c r="U123" s="15">
        <f t="shared" si="100"/>
        <v>1.9418233110513626E-2</v>
      </c>
      <c r="V123" s="29">
        <f t="shared" si="101"/>
        <v>0</v>
      </c>
      <c r="W123" s="8">
        <f t="shared" si="102"/>
        <v>1.4807586142575793</v>
      </c>
      <c r="X123" s="8">
        <f t="shared" si="86"/>
        <v>1.7416505363769252</v>
      </c>
      <c r="Y123" s="17">
        <f t="shared" si="103"/>
        <v>2.0837804903652796E-2</v>
      </c>
      <c r="Z123" s="18">
        <f t="shared" si="104"/>
        <v>1.8759791467925913</v>
      </c>
      <c r="AA123" s="8">
        <f t="shared" si="105"/>
        <v>46.522560059091013</v>
      </c>
      <c r="AB123" s="19">
        <f t="shared" si="106"/>
        <v>985.41761235844069</v>
      </c>
      <c r="AC123" s="88"/>
      <c r="AD123" s="88"/>
      <c r="AE123" s="88"/>
    </row>
    <row r="124" spans="9:31" ht="15.75" thickBot="1" x14ac:dyDescent="0.3">
      <c r="I124" s="1"/>
      <c r="J124" s="1"/>
      <c r="O124" s="14">
        <f t="shared" si="68"/>
        <v>25</v>
      </c>
      <c r="P124" s="20">
        <f t="shared" si="97"/>
        <v>62.018034536524745</v>
      </c>
      <c r="Q124" s="15">
        <f t="shared" si="98"/>
        <v>7.068260916760119E-2</v>
      </c>
      <c r="R124" s="15"/>
      <c r="S124" s="16">
        <f t="shared" si="99"/>
        <v>7.3991222645737329</v>
      </c>
      <c r="T124" s="28">
        <f t="shared" si="57"/>
        <v>0</v>
      </c>
      <c r="U124" s="15">
        <f t="shared" si="100"/>
        <v>1.9418233110513626E-2</v>
      </c>
      <c r="V124" s="29">
        <f t="shared" si="101"/>
        <v>0</v>
      </c>
      <c r="W124" s="8">
        <f t="shared" si="102"/>
        <v>1.4880735356801054</v>
      </c>
      <c r="X124" s="8">
        <f t="shared" si="86"/>
        <v>1.7354828692463817</v>
      </c>
      <c r="Y124" s="17">
        <f t="shared" si="103"/>
        <v>1.9760931585449535E-2</v>
      </c>
      <c r="Z124" s="18">
        <f t="shared" si="104"/>
        <v>1.8839893063377748</v>
      </c>
      <c r="AA124" s="8">
        <f t="shared" si="105"/>
        <v>46.721204659784391</v>
      </c>
      <c r="AB124" s="19">
        <f t="shared" si="106"/>
        <v>1016.3427574619659</v>
      </c>
      <c r="AC124" s="88"/>
      <c r="AD124" s="88"/>
      <c r="AE124" s="88"/>
    </row>
    <row r="125" spans="9:31" ht="15.75" thickBot="1" x14ac:dyDescent="0.3">
      <c r="I125" s="1"/>
      <c r="J125" s="1"/>
      <c r="O125" s="14">
        <f t="shared" si="68"/>
        <v>25.5</v>
      </c>
      <c r="P125" s="20">
        <f t="shared" si="97"/>
        <v>62.336185535050483</v>
      </c>
      <c r="Q125" s="15">
        <f t="shared" si="98"/>
        <v>7.0967599909970369E-2</v>
      </c>
      <c r="R125" s="15"/>
      <c r="S125" s="16">
        <f t="shared" si="99"/>
        <v>7.4589087509697878</v>
      </c>
      <c r="T125" s="28">
        <f t="shared" si="57"/>
        <v>0</v>
      </c>
      <c r="U125" s="15">
        <f t="shared" si="100"/>
        <v>1.9418233110513626E-2</v>
      </c>
      <c r="V125" s="29">
        <f t="shared" si="101"/>
        <v>0</v>
      </c>
      <c r="W125" s="8">
        <f t="shared" si="102"/>
        <v>1.4950392232582883</v>
      </c>
      <c r="X125" s="8">
        <f t="shared" si="86"/>
        <v>1.7296193585094688</v>
      </c>
      <c r="Y125" s="17">
        <f t="shared" si="103"/>
        <v>1.8736245464895957E-2</v>
      </c>
      <c r="Z125" s="18">
        <f t="shared" si="104"/>
        <v>1.8915855102322245</v>
      </c>
      <c r="AA125" s="8">
        <f t="shared" si="105"/>
        <v>46.909583540490416</v>
      </c>
      <c r="AB125" s="19">
        <f t="shared" si="106"/>
        <v>1047.4313124798598</v>
      </c>
      <c r="AC125" s="88"/>
      <c r="AD125" s="88"/>
      <c r="AE125" s="88"/>
    </row>
    <row r="126" spans="9:31" ht="15.75" thickBot="1" x14ac:dyDescent="0.3">
      <c r="I126" s="1"/>
      <c r="J126" s="1"/>
      <c r="O126" s="14">
        <f t="shared" si="68"/>
        <v>26</v>
      </c>
      <c r="P126" s="20">
        <f t="shared" si="97"/>
        <v>62.63783908703531</v>
      </c>
      <c r="Q126" s="15">
        <f t="shared" si="98"/>
        <v>7.1237812702376557E-2</v>
      </c>
      <c r="R126" s="15"/>
      <c r="S126" s="16">
        <f t="shared" si="99"/>
        <v>7.5158172447145652</v>
      </c>
      <c r="T126" s="28">
        <f t="shared" si="57"/>
        <v>0</v>
      </c>
      <c r="U126" s="15">
        <f t="shared" si="100"/>
        <v>1.9418233110513626E-2</v>
      </c>
      <c r="V126" s="29">
        <f t="shared" si="101"/>
        <v>0</v>
      </c>
      <c r="W126" s="8">
        <f t="shared" si="102"/>
        <v>1.5016695976433141</v>
      </c>
      <c r="X126" s="8">
        <f t="shared" si="86"/>
        <v>1.7240467854330965</v>
      </c>
      <c r="Y126" s="17">
        <f t="shared" si="103"/>
        <v>1.776157888118389E-2</v>
      </c>
      <c r="Z126" s="18">
        <f t="shared" si="104"/>
        <v>1.898787819503545</v>
      </c>
      <c r="AA126" s="8">
        <f t="shared" si="105"/>
        <v>47.088194196270905</v>
      </c>
      <c r="AB126" s="19">
        <f t="shared" si="106"/>
        <v>1078.6748186353811</v>
      </c>
      <c r="AC126" s="88"/>
      <c r="AD126" s="88"/>
      <c r="AE126" s="88"/>
    </row>
    <row r="127" spans="9:31" ht="15.75" thickBot="1" x14ac:dyDescent="0.3">
      <c r="I127" s="1"/>
      <c r="J127" s="1"/>
      <c r="O127" s="14">
        <f t="shared" si="68"/>
        <v>26.5</v>
      </c>
      <c r="P127" s="20">
        <f t="shared" si="97"/>
        <v>62.923800507022371</v>
      </c>
      <c r="Q127" s="15">
        <f t="shared" si="98"/>
        <v>7.1493968923003554E-2</v>
      </c>
      <c r="R127" s="15"/>
      <c r="S127" s="16">
        <f t="shared" si="99"/>
        <v>7.5699650242901928</v>
      </c>
      <c r="T127" s="28">
        <f t="shared" si="57"/>
        <v>0</v>
      </c>
      <c r="U127" s="15">
        <f t="shared" si="100"/>
        <v>1.9418233110513626E-2</v>
      </c>
      <c r="V127" s="29">
        <f t="shared" si="101"/>
        <v>0</v>
      </c>
      <c r="W127" s="8">
        <f t="shared" si="102"/>
        <v>1.5079783228806116</v>
      </c>
      <c r="X127" s="8">
        <f t="shared" si="86"/>
        <v>1.7187523174708919</v>
      </c>
      <c r="Y127" s="17">
        <f t="shared" si="103"/>
        <v>1.6834815514244483E-2</v>
      </c>
      <c r="Z127" s="18">
        <f t="shared" si="104"/>
        <v>1.9056154619193595</v>
      </c>
      <c r="AA127" s="8">
        <f t="shared" si="105"/>
        <v>47.25751345810535</v>
      </c>
      <c r="AB127" s="19">
        <f t="shared" si="106"/>
        <v>1110.0652285338956</v>
      </c>
      <c r="AC127" s="88"/>
      <c r="AD127" s="88"/>
      <c r="AE127" s="88"/>
    </row>
    <row r="128" spans="9:31" ht="15.75" thickBot="1" x14ac:dyDescent="0.3">
      <c r="I128" s="1"/>
      <c r="J128" s="1"/>
      <c r="O128" s="14">
        <f t="shared" si="68"/>
        <v>27</v>
      </c>
      <c r="P128" s="20">
        <f t="shared" si="97"/>
        <v>63.194841036801705</v>
      </c>
      <c r="Q128" s="15">
        <f t="shared" si="98"/>
        <v>7.1736759428618457E-2</v>
      </c>
      <c r="R128" s="15"/>
      <c r="S128" s="16">
        <f t="shared" si="99"/>
        <v>7.6214668895661486</v>
      </c>
      <c r="T128" s="28">
        <f t="shared" si="57"/>
        <v>0</v>
      </c>
      <c r="U128" s="15">
        <f t="shared" si="100"/>
        <v>1.9418233110513626E-2</v>
      </c>
      <c r="V128" s="29">
        <f t="shared" si="101"/>
        <v>0</v>
      </c>
      <c r="W128" s="8">
        <f t="shared" si="102"/>
        <v>1.5139787742339403</v>
      </c>
      <c r="X128" s="8">
        <f t="shared" si="86"/>
        <v>1.7137235184890716</v>
      </c>
      <c r="Y128" s="17">
        <f t="shared" si="103"/>
        <v>1.5953893771438483E-2</v>
      </c>
      <c r="Z128" s="18">
        <f t="shared" si="104"/>
        <v>1.9120868517229561</v>
      </c>
      <c r="AA128" s="8">
        <f t="shared" si="105"/>
        <v>47.417997982316798</v>
      </c>
      <c r="AB128" s="19">
        <f t="shared" si="106"/>
        <v>1141.5948889198517</v>
      </c>
      <c r="AC128" s="88"/>
      <c r="AD128" s="88"/>
      <c r="AE128" s="88"/>
    </row>
    <row r="129" spans="9:31" ht="15.75" thickBot="1" x14ac:dyDescent="0.3">
      <c r="I129" s="1"/>
      <c r="J129" s="1"/>
      <c r="O129" s="14">
        <f t="shared" si="68"/>
        <v>27.5</v>
      </c>
      <c r="P129" s="20">
        <f t="shared" si="97"/>
        <v>63.451698726521862</v>
      </c>
      <c r="Q129" s="15">
        <f t="shared" si="98"/>
        <v>7.1966845343846716E-2</v>
      </c>
      <c r="R129" s="15"/>
      <c r="S129" s="16">
        <f t="shared" si="99"/>
        <v>7.6704349333715696</v>
      </c>
      <c r="T129" s="28">
        <f t="shared" si="57"/>
        <v>0</v>
      </c>
      <c r="U129" s="15">
        <f t="shared" si="100"/>
        <v>1.9418233110513626E-2</v>
      </c>
      <c r="V129" s="29">
        <f t="shared" si="101"/>
        <v>0</v>
      </c>
      <c r="W129" s="8">
        <f t="shared" si="102"/>
        <v>1.5196840115714174</v>
      </c>
      <c r="X129" s="8">
        <f t="shared" si="86"/>
        <v>1.7089483557752625</v>
      </c>
      <c r="Y129" s="17">
        <f t="shared" si="103"/>
        <v>1.5116809473055987E-2</v>
      </c>
      <c r="Z129" s="18">
        <f t="shared" si="104"/>
        <v>1.9182196106707918</v>
      </c>
      <c r="AA129" s="8">
        <f t="shared" si="105"/>
        <v>47.570084772282684</v>
      </c>
      <c r="AB129" s="19">
        <f t="shared" si="106"/>
        <v>1173.2565238606826</v>
      </c>
      <c r="AC129" s="88"/>
      <c r="AD129" s="88"/>
      <c r="AE129" s="88"/>
    </row>
    <row r="130" spans="9:31" ht="15.75" thickBot="1" x14ac:dyDescent="0.3">
      <c r="I130" s="1"/>
      <c r="J130" s="1"/>
      <c r="O130" s="14">
        <f t="shared" si="68"/>
        <v>28</v>
      </c>
      <c r="P130" s="20">
        <f t="shared" si="97"/>
        <v>63.695079359038061</v>
      </c>
      <c r="Q130" s="15">
        <f t="shared" si="98"/>
        <v>7.2184858889177347E-2</v>
      </c>
      <c r="R130" s="15"/>
      <c r="S130" s="16">
        <f t="shared" si="99"/>
        <v>7.7169783560715102</v>
      </c>
      <c r="T130" s="28">
        <f t="shared" si="57"/>
        <v>0</v>
      </c>
      <c r="U130" s="15">
        <f t="shared" si="100"/>
        <v>1.9418233110513626E-2</v>
      </c>
      <c r="V130" s="29">
        <f t="shared" si="101"/>
        <v>0</v>
      </c>
      <c r="W130" s="8">
        <f t="shared" si="102"/>
        <v>1.5251067577619091</v>
      </c>
      <c r="X130" s="8">
        <f t="shared" si="86"/>
        <v>1.7044152041924927</v>
      </c>
      <c r="Y130" s="17">
        <f t="shared" si="103"/>
        <v>1.4321617909612215E-2</v>
      </c>
      <c r="Z130" s="18">
        <f t="shared" si="104"/>
        <v>1.9240305901023202</v>
      </c>
      <c r="AA130" s="8">
        <f t="shared" si="105"/>
        <v>47.714191725746225</v>
      </c>
      <c r="AB130" s="19">
        <f t="shared" si="106"/>
        <v>1205.0432183820726</v>
      </c>
      <c r="AC130" s="88"/>
      <c r="AD130" s="88"/>
      <c r="AE130" s="88"/>
    </row>
    <row r="131" spans="9:31" ht="15.75" thickBot="1" x14ac:dyDescent="0.3">
      <c r="I131" s="1"/>
      <c r="J131" s="1"/>
      <c r="O131" s="14">
        <f t="shared" si="68"/>
        <v>28.5</v>
      </c>
      <c r="P131" s="20">
        <f t="shared" si="97"/>
        <v>63.925657407382815</v>
      </c>
      <c r="Q131" s="15">
        <f t="shared" si="98"/>
        <v>7.2391404238638157E-2</v>
      </c>
      <c r="R131" s="15"/>
      <c r="S131" s="16">
        <f t="shared" si="99"/>
        <v>7.7612033187176817</v>
      </c>
      <c r="T131" s="28">
        <f t="shared" si="57"/>
        <v>0</v>
      </c>
      <c r="U131" s="15">
        <f t="shared" si="100"/>
        <v>1.9418233110513626E-2</v>
      </c>
      <c r="V131" s="29">
        <f t="shared" si="101"/>
        <v>0</v>
      </c>
      <c r="W131" s="8">
        <f t="shared" si="102"/>
        <v>1.5302593815657117</v>
      </c>
      <c r="X131" s="8">
        <f t="shared" si="86"/>
        <v>1.7001128478139629</v>
      </c>
      <c r="Y131" s="17">
        <f t="shared" si="103"/>
        <v>1.356643533896436E-2</v>
      </c>
      <c r="Z131" s="18">
        <f t="shared" si="104"/>
        <v>1.9295358938006497</v>
      </c>
      <c r="AA131" s="8">
        <f t="shared" si="105"/>
        <v>47.850718201739824</v>
      </c>
      <c r="AB131" s="19">
        <f t="shared" si="106"/>
        <v>1236.9484025736779</v>
      </c>
      <c r="AC131" s="88"/>
      <c r="AD131" s="88"/>
      <c r="AE131" s="88"/>
    </row>
    <row r="132" spans="9:31" ht="15.75" thickBot="1" x14ac:dyDescent="0.3">
      <c r="I132" s="1"/>
      <c r="J132" s="1"/>
      <c r="O132" s="14">
        <f t="shared" si="68"/>
        <v>29</v>
      </c>
      <c r="P132" s="20">
        <f t="shared" si="97"/>
        <v>64.144077016340134</v>
      </c>
      <c r="Q132" s="15">
        <f t="shared" si="98"/>
        <v>7.2587058399062557E-2</v>
      </c>
      <c r="R132" s="15"/>
      <c r="S132" s="16">
        <f t="shared" si="99"/>
        <v>7.8032128306498274</v>
      </c>
      <c r="T132" s="28">
        <f t="shared" si="57"/>
        <v>0</v>
      </c>
      <c r="U132" s="15">
        <f t="shared" si="100"/>
        <v>1.9418233110513626E-2</v>
      </c>
      <c r="V132" s="29">
        <f t="shared" si="101"/>
        <v>0</v>
      </c>
      <c r="W132" s="8">
        <f t="shared" si="102"/>
        <v>1.5351538845390555</v>
      </c>
      <c r="X132" s="8">
        <f t="shared" si="86"/>
        <v>1.6960304793481393</v>
      </c>
      <c r="Y132" s="17">
        <f t="shared" si="103"/>
        <v>1.2849439986348681E-2</v>
      </c>
      <c r="Z132" s="18">
        <f t="shared" si="104"/>
        <v>1.9347509014287074</v>
      </c>
      <c r="AA132" s="8">
        <f t="shared" si="105"/>
        <v>47.980045601780347</v>
      </c>
      <c r="AB132" s="19">
        <f t="shared" si="106"/>
        <v>1268.9658361796087</v>
      </c>
      <c r="AC132" s="88"/>
      <c r="AD132" s="88"/>
      <c r="AE132" s="88"/>
    </row>
    <row r="133" spans="9:31" ht="15.75" thickBot="1" x14ac:dyDescent="0.3">
      <c r="I133" s="1"/>
      <c r="J133" s="1"/>
      <c r="O133" s="14">
        <f t="shared" si="68"/>
        <v>29.5</v>
      </c>
      <c r="P133" s="20">
        <f t="shared" si="97"/>
        <v>64.350953000120342</v>
      </c>
      <c r="Q133" s="15">
        <f t="shared" si="98"/>
        <v>7.2772372103778474E-2</v>
      </c>
      <c r="R133" s="15"/>
      <c r="S133" s="16">
        <f t="shared" si="99"/>
        <v>7.8431066677255874</v>
      </c>
      <c r="T133" s="28">
        <f t="shared" si="57"/>
        <v>0</v>
      </c>
      <c r="U133" s="15">
        <f t="shared" si="100"/>
        <v>1.9418233110513626E-2</v>
      </c>
      <c r="V133" s="29">
        <f t="shared" si="101"/>
        <v>0</v>
      </c>
      <c r="W133" s="8">
        <f t="shared" si="102"/>
        <v>1.5398018915071152</v>
      </c>
      <c r="X133" s="8">
        <f t="shared" si="86"/>
        <v>1.6921576976384438</v>
      </c>
      <c r="Y133" s="17">
        <f t="shared" si="103"/>
        <v>1.2168872605611253E-2</v>
      </c>
      <c r="Z133" s="18">
        <f t="shared" si="104"/>
        <v>1.9396902923498147</v>
      </c>
      <c r="AA133" s="8">
        <f t="shared" si="105"/>
        <v>48.102537960597573</v>
      </c>
      <c r="AB133" s="19">
        <f t="shared" si="106"/>
        <v>1301.0895936837237</v>
      </c>
      <c r="AC133" s="88"/>
      <c r="AD133" s="88"/>
      <c r="AE133" s="88"/>
    </row>
    <row r="134" spans="9:31" ht="15.75" thickBot="1" x14ac:dyDescent="0.3">
      <c r="O134" s="14">
        <f t="shared" si="68"/>
        <v>30</v>
      </c>
      <c r="P134" s="20">
        <f t="shared" si="97"/>
        <v>64.546871849070683</v>
      </c>
      <c r="Q134" s="15">
        <f t="shared" si="98"/>
        <v>7.2947870714391683E-2</v>
      </c>
      <c r="R134" s="15"/>
      <c r="S134" s="16">
        <f t="shared" si="99"/>
        <v>7.8809813176518979</v>
      </c>
      <c r="T134" s="28">
        <f t="shared" si="57"/>
        <v>0</v>
      </c>
      <c r="U134" s="15">
        <f t="shared" si="100"/>
        <v>1.9418233110513626E-2</v>
      </c>
      <c r="V134" s="29">
        <f t="shared" si="101"/>
        <v>0</v>
      </c>
      <c r="W134" s="8">
        <f t="shared" si="102"/>
        <v>1.5442146441946045</v>
      </c>
      <c r="X134" s="8">
        <f t="shared" si="86"/>
        <v>1.6884845034975209</v>
      </c>
      <c r="Y134" s="17">
        <f t="shared" si="103"/>
        <v>1.1523036655218408E-2</v>
      </c>
      <c r="Z134" s="18">
        <f t="shared" si="104"/>
        <v>1.9443680696640113</v>
      </c>
      <c r="AA134" s="8">
        <f t="shared" si="105"/>
        <v>48.218542542212901</v>
      </c>
      <c r="AB134" s="19">
        <f t="shared" si="106"/>
        <v>1333.3140498960215</v>
      </c>
      <c r="AC134" s="88"/>
      <c r="AD134" s="88"/>
      <c r="AE134" s="88"/>
    </row>
  </sheetData>
  <sortState ref="I3:J122">
    <sortCondition ref="J3:J122"/>
  </sortState>
  <mergeCells count="1">
    <mergeCell ref="O7:Q7"/>
  </mergeCells>
  <conditionalFormatting sqref="Z74:Z134">
    <cfRule type="colorScale" priority="24">
      <colorScale>
        <cfvo type="min"/>
        <cfvo type="num" val="1"/>
        <cfvo type="num" val="1.2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num" val="1.2"/>
        <color rgb="FFFF7128"/>
        <color rgb="FF00B050"/>
      </colorScale>
    </cfRule>
  </conditionalFormatting>
  <conditionalFormatting sqref="Z74">
    <cfRule type="colorScale" priority="29">
      <colorScale>
        <cfvo type="min"/>
        <cfvo type="num" val="1.5"/>
        <color rgb="FFFF7128"/>
        <color rgb="FF00B050"/>
      </colorScale>
    </cfRule>
  </conditionalFormatting>
  <conditionalFormatting sqref="AB74:AE13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74:V13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4:W13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:Y134">
    <cfRule type="colorScale" priority="12">
      <colorScale>
        <cfvo type="num" val="0"/>
        <cfvo type="percentile" val="50"/>
        <cfvo type="max"/>
        <color rgb="FFF8696B"/>
        <color rgb="FFFFEB84"/>
        <color rgb="FF63BE7B"/>
      </colorScale>
    </cfRule>
  </conditionalFormatting>
  <conditionalFormatting sqref="AF20:AF68">
    <cfRule type="colorScale" priority="9">
      <colorScale>
        <cfvo type="num" val="2"/>
        <cfvo type="num" val="3"/>
        <cfvo type="num" val="6"/>
        <color rgb="FFF8696B"/>
        <color rgb="FFFFEB84"/>
        <color rgb="FF63BE7B"/>
      </colorScale>
    </cfRule>
  </conditionalFormatting>
  <conditionalFormatting sqref="AF18:AF68">
    <cfRule type="colorScale" priority="3">
      <colorScale>
        <cfvo type="num" val="1"/>
        <cfvo type="num" val="3"/>
        <cfvo type="num" val="6"/>
        <color rgb="FFF8696B"/>
        <color rgb="FFFFEB84"/>
        <color rgb="FF63BE7B"/>
      </colorScale>
    </cfRule>
  </conditionalFormatting>
  <conditionalFormatting sqref="X74:X1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6:X68">
    <cfRule type="colorScale" priority="152">
      <colorScale>
        <cfvo type="min"/>
        <cfvo type="num" val="1"/>
        <cfvo type="num" val="1.4"/>
        <color rgb="FFF8696B"/>
        <color rgb="FFFFEB84"/>
        <color rgb="FF63BE7B"/>
      </colorScale>
    </cfRule>
    <cfRule type="colorScale" priority="153">
      <colorScale>
        <cfvo type="min"/>
        <cfvo type="num" val="1"/>
        <cfvo type="max"/>
        <color rgb="FFF8696B"/>
        <color rgb="FFFFEB84"/>
        <color rgb="FF63BE7B"/>
      </colorScale>
    </cfRule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6:Y68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6:Z68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16:AA68">
    <cfRule type="colorScale" priority="162">
      <colorScale>
        <cfvo type="num" val="0"/>
        <cfvo type="num" val="1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6:W68">
    <cfRule type="colorScale" priority="166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6:V68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6:U68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E68">
    <cfRule type="colorScale" priority="174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6:AG68">
    <cfRule type="colorScale" priority="178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6:AH68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1:AH68">
    <cfRule type="colorScale" priority="184">
      <colorScale>
        <cfvo type="num" val="0"/>
        <cfvo type="num" val="300"/>
        <cfvo type="max"/>
        <color rgb="FFF8696B"/>
        <color rgb="FFFFEB84"/>
        <color rgb="FF63BE7B"/>
      </colorScale>
    </cfRule>
  </conditionalFormatting>
  <conditionalFormatting sqref="AF16:AF68">
    <cfRule type="colorScale" priority="186">
      <colorScale>
        <cfvo type="num" val="1"/>
        <cfvo type="num" val="2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2"/>
  <sheetViews>
    <sheetView workbookViewId="0">
      <selection activeCell="F34" sqref="F34"/>
    </sheetView>
  </sheetViews>
  <sheetFormatPr defaultRowHeight="15" x14ac:dyDescent="0.25"/>
  <cols>
    <col min="1" max="1" width="15.28515625" bestFit="1" customWidth="1"/>
    <col min="2" max="2" width="21.5703125" customWidth="1"/>
    <col min="3" max="3" width="15.85546875" bestFit="1" customWidth="1"/>
    <col min="4" max="4" width="18" bestFit="1" customWidth="1"/>
    <col min="5" max="5" width="11.140625" bestFit="1" customWidth="1"/>
    <col min="6" max="6" width="18.28515625" style="40" bestFit="1" customWidth="1"/>
    <col min="7" max="7" width="22" bestFit="1" customWidth="1"/>
    <col min="8" max="8" width="5.85546875" bestFit="1" customWidth="1"/>
    <col min="9" max="9" width="20.5703125" bestFit="1" customWidth="1"/>
    <col min="10" max="10" width="20.85546875" bestFit="1" customWidth="1"/>
    <col min="11" max="11" width="6" bestFit="1" customWidth="1"/>
    <col min="12" max="12" width="21.140625" bestFit="1" customWidth="1"/>
    <col min="16" max="16" width="11.28515625" bestFit="1" customWidth="1"/>
  </cols>
  <sheetData>
    <row r="1" spans="1:16" x14ac:dyDescent="0.25">
      <c r="A1" s="58" t="s">
        <v>136</v>
      </c>
      <c r="B1" s="59" t="s">
        <v>137</v>
      </c>
      <c r="C1" s="59" t="s">
        <v>138</v>
      </c>
      <c r="D1" s="59" t="s">
        <v>139</v>
      </c>
      <c r="E1" s="59" t="s">
        <v>140</v>
      </c>
      <c r="F1" s="62" t="s">
        <v>151</v>
      </c>
      <c r="G1" s="58" t="s">
        <v>148</v>
      </c>
      <c r="H1" s="60">
        <f>IF($A2*$M2+2.5&gt;$D2*$M3,$A2*$M2+2.5,$D2*$M3)</f>
        <v>10.5</v>
      </c>
      <c r="I1" s="60" t="str">
        <f>IF($A2*$M2+2.5&gt;$D2*$M3,"Passenger Dominated","Cargo Dominated")</f>
        <v>Passenger Dominated</v>
      </c>
      <c r="J1" s="58"/>
      <c r="K1" s="61"/>
      <c r="L1" s="58"/>
      <c r="M1" s="59" t="s">
        <v>124</v>
      </c>
      <c r="N1" s="59" t="s">
        <v>123</v>
      </c>
      <c r="O1" s="59" t="s">
        <v>125</v>
      </c>
      <c r="P1" s="62" t="s">
        <v>141</v>
      </c>
    </row>
    <row r="2" spans="1:16" x14ac:dyDescent="0.25">
      <c r="A2" s="63">
        <v>4</v>
      </c>
      <c r="B2" s="64">
        <v>13</v>
      </c>
      <c r="C2" s="65">
        <f>$B2*$A2</f>
        <v>52</v>
      </c>
      <c r="D2" s="64">
        <v>2</v>
      </c>
      <c r="E2" s="64">
        <v>2</v>
      </c>
      <c r="F2" s="73">
        <f>E2*D2</f>
        <v>4</v>
      </c>
      <c r="G2" s="66" t="s">
        <v>149</v>
      </c>
      <c r="H2" s="67">
        <f>IF(($B$2*(2.5))&gt;($E$2*$N$3),$B$2*(2.5),$E$2*$N$3)</f>
        <v>32.5</v>
      </c>
      <c r="I2" s="67" t="str">
        <f>IF(($B$2*(2.5))&gt;($E$2*$N$3),"Passenger Dominated","Cargo Dominated")</f>
        <v>Passenger Dominated</v>
      </c>
      <c r="J2" s="66" t="s">
        <v>142</v>
      </c>
      <c r="K2" s="68">
        <f>(P2*$B2*$A2)/16</f>
        <v>4.0901249999999996</v>
      </c>
      <c r="L2" s="66" t="s">
        <v>143</v>
      </c>
      <c r="M2" s="69">
        <v>2</v>
      </c>
      <c r="N2" s="67">
        <v>2</v>
      </c>
      <c r="O2" s="67">
        <v>2</v>
      </c>
      <c r="P2" s="68">
        <v>1.2585</v>
      </c>
    </row>
    <row r="3" spans="1:16" x14ac:dyDescent="0.25">
      <c r="A3" s="40"/>
      <c r="B3" s="40"/>
      <c r="C3" s="40"/>
      <c r="D3" s="40"/>
      <c r="E3" s="40"/>
      <c r="G3" s="66" t="s">
        <v>150</v>
      </c>
      <c r="H3" s="67">
        <f>$O$3+$O$2</f>
        <v>4.5</v>
      </c>
      <c r="I3" s="67"/>
      <c r="J3" s="66" t="s">
        <v>144</v>
      </c>
      <c r="K3" s="68">
        <f>$E2*$D2*P3/16</f>
        <v>2</v>
      </c>
      <c r="L3" s="71" t="s">
        <v>145</v>
      </c>
      <c r="M3" s="64">
        <v>2.5</v>
      </c>
      <c r="N3" s="64">
        <v>4</v>
      </c>
      <c r="O3" s="64">
        <v>2.5</v>
      </c>
      <c r="P3" s="73">
        <v>8</v>
      </c>
    </row>
    <row r="4" spans="1:16" x14ac:dyDescent="0.25">
      <c r="A4" s="40"/>
      <c r="B4" s="40"/>
      <c r="C4" s="40"/>
      <c r="D4" s="40"/>
      <c r="E4" s="40"/>
      <c r="G4" s="71"/>
      <c r="H4" s="65"/>
      <c r="I4" s="65"/>
      <c r="J4" s="66" t="s">
        <v>146</v>
      </c>
      <c r="K4" s="68">
        <f>K3+(K2/2)+K1</f>
        <v>4.0450625000000002</v>
      </c>
      <c r="L4" s="40"/>
    </row>
    <row r="5" spans="1:16" x14ac:dyDescent="0.25">
      <c r="A5" s="40"/>
      <c r="B5" s="40"/>
      <c r="C5" s="40"/>
      <c r="D5" s="40"/>
      <c r="E5" s="40"/>
      <c r="G5" s="58" t="s">
        <v>152</v>
      </c>
      <c r="H5" s="61">
        <v>0.5</v>
      </c>
      <c r="I5" s="74"/>
      <c r="J5" s="71" t="s">
        <v>147</v>
      </c>
      <c r="K5" s="73">
        <f>SUM(K1:K3)</f>
        <v>6.0901249999999996</v>
      </c>
      <c r="L5" s="40"/>
    </row>
    <row r="6" spans="1:16" x14ac:dyDescent="0.25">
      <c r="A6" s="40"/>
      <c r="B6" s="40"/>
      <c r="C6" s="40"/>
      <c r="D6" s="40"/>
      <c r="E6" s="40"/>
      <c r="G6" s="66" t="s">
        <v>161</v>
      </c>
      <c r="H6" s="70">
        <v>20</v>
      </c>
      <c r="I6" s="74"/>
      <c r="J6" s="40"/>
      <c r="K6" s="40"/>
      <c r="L6" s="40"/>
      <c r="M6" s="40"/>
      <c r="N6" s="40"/>
    </row>
    <row r="7" spans="1:16" x14ac:dyDescent="0.25">
      <c r="C7" t="s">
        <v>159</v>
      </c>
      <c r="G7" s="66" t="s">
        <v>160</v>
      </c>
      <c r="H7" s="70">
        <v>5</v>
      </c>
      <c r="I7" s="74"/>
    </row>
    <row r="8" spans="1:16" x14ac:dyDescent="0.25">
      <c r="G8" s="71" t="s">
        <v>153</v>
      </c>
      <c r="H8" s="72">
        <v>1</v>
      </c>
    </row>
    <row r="9" spans="1:16" x14ac:dyDescent="0.25">
      <c r="G9" s="58" t="s">
        <v>154</v>
      </c>
      <c r="H9" s="75">
        <f>H5+H1</f>
        <v>11</v>
      </c>
    </row>
    <row r="10" spans="1:16" x14ac:dyDescent="0.25">
      <c r="G10" s="66" t="s">
        <v>155</v>
      </c>
      <c r="H10" s="68">
        <f>H6+H2+H7</f>
        <v>57.5</v>
      </c>
    </row>
    <row r="11" spans="1:16" x14ac:dyDescent="0.25">
      <c r="G11" s="71" t="s">
        <v>156</v>
      </c>
      <c r="H11" s="73">
        <f>H3+H8</f>
        <v>5.5</v>
      </c>
    </row>
    <row r="13" spans="1:16" x14ac:dyDescent="0.25">
      <c r="A13" s="99" t="s">
        <v>162</v>
      </c>
      <c r="B13" s="100"/>
      <c r="C13" s="101"/>
      <c r="D13" s="99" t="s">
        <v>182</v>
      </c>
      <c r="E13" s="100"/>
      <c r="F13" s="102"/>
    </row>
    <row r="14" spans="1:16" x14ac:dyDescent="0.25">
      <c r="A14" s="80" t="s">
        <v>180</v>
      </c>
      <c r="B14" s="81" t="s">
        <v>181</v>
      </c>
      <c r="C14" s="81" t="s">
        <v>103</v>
      </c>
      <c r="D14" s="58" t="s">
        <v>167</v>
      </c>
      <c r="E14" s="61">
        <v>1.25</v>
      </c>
      <c r="F14" s="62" t="s">
        <v>175</v>
      </c>
    </row>
    <row r="15" spans="1:16" x14ac:dyDescent="0.25">
      <c r="A15" s="66" t="s">
        <v>163</v>
      </c>
      <c r="B15" s="67">
        <f>((H9+E14)/2)*CRUD_LENGTH+2*((E15+H11)/2)*CRUD_LENGTH+((E14+H9)/2)*SQRT((H11-E15)^2+CRUD_LENGTH^2)</f>
        <v>382.73528247487809</v>
      </c>
      <c r="C15" s="67">
        <f>SWET_tail/144</f>
        <v>2.6578839060755421</v>
      </c>
      <c r="D15" s="66" t="s">
        <v>168</v>
      </c>
      <c r="E15" s="70">
        <v>1.25</v>
      </c>
      <c r="F15" s="68">
        <f>E14*E15</f>
        <v>1.5625</v>
      </c>
    </row>
    <row r="16" spans="1:16" x14ac:dyDescent="0.25">
      <c r="A16" s="66" t="s">
        <v>166</v>
      </c>
      <c r="B16" s="67">
        <f>4*H2*H11</f>
        <v>715</v>
      </c>
      <c r="C16" s="67">
        <f>SWET_mid/144</f>
        <v>4.9652777777777777</v>
      </c>
      <c r="D16" s="66" t="s">
        <v>169</v>
      </c>
      <c r="E16" s="70">
        <v>0.5</v>
      </c>
      <c r="F16" s="82" t="s">
        <v>176</v>
      </c>
    </row>
    <row r="17" spans="1:6" x14ac:dyDescent="0.25">
      <c r="A17" s="66" t="s">
        <v>164</v>
      </c>
      <c r="B17" s="67">
        <f>SQRT(CRUD_LENGTH_nose^2+(H9/2)^2)*H11+SQRT(CRUD_LENGTH_nose^2+(H11/2)^2)*H9</f>
        <v>103.65160621294919</v>
      </c>
      <c r="C17" s="67">
        <f>SWET_nose/144</f>
        <v>0.71980282092325831</v>
      </c>
      <c r="D17" s="66" t="s">
        <v>170</v>
      </c>
      <c r="E17" s="70">
        <v>3</v>
      </c>
      <c r="F17" s="68">
        <f>E16*E17</f>
        <v>1.5</v>
      </c>
    </row>
    <row r="18" spans="1:6" x14ac:dyDescent="0.25">
      <c r="A18" s="71" t="s">
        <v>165</v>
      </c>
      <c r="B18" s="65">
        <f>SUM(B15:B17)</f>
        <v>1201.3868886878274</v>
      </c>
      <c r="C18" s="65">
        <f>SWET_fuse/144</f>
        <v>8.3429645047765799</v>
      </c>
      <c r="D18" s="66" t="s">
        <v>171</v>
      </c>
      <c r="E18" s="70">
        <v>1.5</v>
      </c>
      <c r="F18" s="82" t="s">
        <v>177</v>
      </c>
    </row>
    <row r="19" spans="1:6" x14ac:dyDescent="0.25">
      <c r="D19" s="66" t="s">
        <v>172</v>
      </c>
      <c r="E19" s="70">
        <v>0.5</v>
      </c>
      <c r="F19" s="68">
        <f>E18*E19</f>
        <v>0.75</v>
      </c>
    </row>
    <row r="20" spans="1:6" x14ac:dyDescent="0.25">
      <c r="D20" s="66" t="s">
        <v>173</v>
      </c>
      <c r="E20" s="70">
        <v>1</v>
      </c>
      <c r="F20" s="82" t="s">
        <v>178</v>
      </c>
    </row>
    <row r="21" spans="1:6" x14ac:dyDescent="0.25">
      <c r="D21" s="71" t="s">
        <v>174</v>
      </c>
      <c r="E21" s="72">
        <v>2.25</v>
      </c>
      <c r="F21" s="73">
        <f>E20*E21</f>
        <v>2.25</v>
      </c>
    </row>
    <row r="22" spans="1:6" x14ac:dyDescent="0.25">
      <c r="D22" s="97" t="s">
        <v>179</v>
      </c>
      <c r="E22" s="98"/>
      <c r="F22" s="79">
        <f>F15+F17+F19+F21</f>
        <v>6.0625</v>
      </c>
    </row>
  </sheetData>
  <mergeCells count="3">
    <mergeCell ref="D22:E22"/>
    <mergeCell ref="A13:C13"/>
    <mergeCell ref="D13:F1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0"/>
  <sheetViews>
    <sheetView workbookViewId="0">
      <selection activeCell="D14" sqref="D14"/>
    </sheetView>
  </sheetViews>
  <sheetFormatPr defaultRowHeight="15" x14ac:dyDescent="0.25"/>
  <cols>
    <col min="1" max="1" width="16.140625" customWidth="1"/>
    <col min="2" max="2" width="6.28515625" customWidth="1"/>
    <col min="3" max="3" width="7.140625" customWidth="1"/>
    <col min="7" max="7" width="12.140625" customWidth="1"/>
    <col min="8" max="8" width="7.7109375" customWidth="1"/>
    <col min="10" max="10" width="11.5703125" customWidth="1"/>
  </cols>
  <sheetData>
    <row r="1" spans="1:19" ht="18.75" x14ac:dyDescent="0.3">
      <c r="A1" s="42" t="s">
        <v>95</v>
      </c>
    </row>
    <row r="2" spans="1:19" x14ac:dyDescent="0.25">
      <c r="A2" s="40"/>
      <c r="B2" s="40"/>
      <c r="C2" s="40"/>
      <c r="D2" s="40"/>
      <c r="E2" s="40"/>
      <c r="F2" s="40"/>
      <c r="G2" s="40"/>
      <c r="H2" s="40"/>
    </row>
    <row r="3" spans="1:19" x14ac:dyDescent="0.25">
      <c r="L3" t="s">
        <v>183</v>
      </c>
      <c r="M3" s="40" t="s">
        <v>109</v>
      </c>
      <c r="N3" s="40">
        <f>N13*(N14+N15)*2*0.7</f>
        <v>9.2239583333333339</v>
      </c>
      <c r="O3" s="40" t="s">
        <v>103</v>
      </c>
    </row>
    <row r="4" spans="1:19" x14ac:dyDescent="0.25">
      <c r="A4" t="s">
        <v>96</v>
      </c>
    </row>
    <row r="5" spans="1:19" x14ac:dyDescent="0.25">
      <c r="A5" t="s">
        <v>97</v>
      </c>
      <c r="C5">
        <v>50</v>
      </c>
    </row>
    <row r="6" spans="1:19" x14ac:dyDescent="0.25">
      <c r="A6" t="s">
        <v>98</v>
      </c>
      <c r="C6">
        <f>C5/660.8</f>
        <v>7.5665859564164648E-2</v>
      </c>
    </row>
    <row r="7" spans="1:19" x14ac:dyDescent="0.25">
      <c r="A7" t="s">
        <v>99</v>
      </c>
      <c r="C7">
        <f>7100000*C6</f>
        <v>537227.60290556902</v>
      </c>
    </row>
    <row r="8" spans="1:19" x14ac:dyDescent="0.25">
      <c r="A8" t="s">
        <v>100</v>
      </c>
      <c r="C8">
        <f>C6^2*1481</f>
        <v>8.4792023316077358</v>
      </c>
      <c r="D8" t="s">
        <v>101</v>
      </c>
    </row>
    <row r="10" spans="1:19" x14ac:dyDescent="0.25">
      <c r="A10" t="s">
        <v>102</v>
      </c>
    </row>
    <row r="11" spans="1:19" x14ac:dyDescent="0.25">
      <c r="A11" t="s">
        <v>107</v>
      </c>
      <c r="G11" t="s">
        <v>119</v>
      </c>
      <c r="J11" s="40" t="s">
        <v>121</v>
      </c>
      <c r="M11" t="s">
        <v>122</v>
      </c>
      <c r="Q11" t="s">
        <v>118</v>
      </c>
      <c r="S11" t="s">
        <v>158</v>
      </c>
    </row>
    <row r="12" spans="1:19" x14ac:dyDescent="0.25">
      <c r="A12" t="s">
        <v>7</v>
      </c>
      <c r="B12" s="43">
        <v>6</v>
      </c>
      <c r="C12" t="s">
        <v>103</v>
      </c>
      <c r="G12" t="s">
        <v>120</v>
      </c>
      <c r="H12" s="43">
        <v>0.95</v>
      </c>
      <c r="I12" s="40" t="s">
        <v>103</v>
      </c>
      <c r="J12" s="40" t="s">
        <v>120</v>
      </c>
      <c r="K12" s="43">
        <v>0.3</v>
      </c>
      <c r="L12" t="s">
        <v>103</v>
      </c>
      <c r="M12" t="s">
        <v>109</v>
      </c>
      <c r="N12">
        <f>'Aircraft Dimensions'!C18</f>
        <v>8.3429645047765799</v>
      </c>
      <c r="O12" s="40" t="s">
        <v>103</v>
      </c>
      <c r="Q12" t="s">
        <v>127</v>
      </c>
      <c r="R12" s="43">
        <v>3</v>
      </c>
      <c r="S12" t="s">
        <v>72</v>
      </c>
    </row>
    <row r="13" spans="1:19" x14ac:dyDescent="0.25">
      <c r="A13" t="s">
        <v>94</v>
      </c>
      <c r="B13" s="43">
        <v>7</v>
      </c>
      <c r="G13" t="s">
        <v>109</v>
      </c>
      <c r="H13">
        <f>2.1*H12</f>
        <v>1.9949999999999999</v>
      </c>
      <c r="I13" s="40" t="s">
        <v>103</v>
      </c>
      <c r="J13" s="40" t="s">
        <v>109</v>
      </c>
      <c r="K13" s="40">
        <f>2.1*K12</f>
        <v>0.63</v>
      </c>
      <c r="L13" t="s">
        <v>103</v>
      </c>
      <c r="M13" t="s">
        <v>123</v>
      </c>
      <c r="N13" s="76">
        <f>'Aircraft Dimensions'!H10/12</f>
        <v>4.791666666666667</v>
      </c>
      <c r="O13" t="s">
        <v>105</v>
      </c>
      <c r="Q13" t="s">
        <v>128</v>
      </c>
      <c r="R13" s="43">
        <v>0.5</v>
      </c>
      <c r="S13" t="s">
        <v>72</v>
      </c>
    </row>
    <row r="14" spans="1:19" x14ac:dyDescent="0.25">
      <c r="A14" t="s">
        <v>104</v>
      </c>
      <c r="B14">
        <f>SQRT(B13*B12)</f>
        <v>6.4807406984078604</v>
      </c>
      <c r="C14" t="s">
        <v>105</v>
      </c>
      <c r="D14">
        <f>B14*12</f>
        <v>77.768888380894325</v>
      </c>
      <c r="E14" t="s">
        <v>72</v>
      </c>
      <c r="G14" t="s">
        <v>106</v>
      </c>
      <c r="H14">
        <v>0.5</v>
      </c>
      <c r="I14" s="40" t="s">
        <v>105</v>
      </c>
      <c r="J14" s="40" t="s">
        <v>106</v>
      </c>
      <c r="K14">
        <v>0.5</v>
      </c>
      <c r="L14" t="s">
        <v>105</v>
      </c>
      <c r="M14" t="s">
        <v>124</v>
      </c>
      <c r="N14" s="76">
        <f>'Aircraft Dimensions'!H9/12</f>
        <v>0.91666666666666663</v>
      </c>
      <c r="O14" t="s">
        <v>70</v>
      </c>
    </row>
    <row r="15" spans="1:19" x14ac:dyDescent="0.25">
      <c r="A15" t="s">
        <v>106</v>
      </c>
      <c r="B15">
        <f>B14/B13</f>
        <v>0.92582009977255153</v>
      </c>
      <c r="C15" t="s">
        <v>70</v>
      </c>
      <c r="D15">
        <f>B15*12</f>
        <v>11.109841197270619</v>
      </c>
      <c r="E15" t="s">
        <v>72</v>
      </c>
      <c r="G15" t="s">
        <v>115</v>
      </c>
      <c r="H15" s="56">
        <v>0.12</v>
      </c>
      <c r="J15" s="40" t="s">
        <v>115</v>
      </c>
      <c r="K15" s="57">
        <v>0.12</v>
      </c>
      <c r="M15" t="s">
        <v>125</v>
      </c>
      <c r="N15" s="76">
        <f>'Aircraft Dimensions'!H11/12</f>
        <v>0.45833333333333331</v>
      </c>
      <c r="O15" t="s">
        <v>70</v>
      </c>
      <c r="Q15" t="s">
        <v>129</v>
      </c>
      <c r="R15">
        <f>R12*R13*3/144</f>
        <v>3.125E-2</v>
      </c>
      <c r="S15" s="40" t="s">
        <v>103</v>
      </c>
    </row>
    <row r="16" spans="1:19" x14ac:dyDescent="0.25">
      <c r="A16" t="s">
        <v>109</v>
      </c>
      <c r="B16">
        <f>2.1*B12</f>
        <v>12.600000000000001</v>
      </c>
      <c r="C16" s="40" t="s">
        <v>103</v>
      </c>
      <c r="M16" t="s">
        <v>93</v>
      </c>
      <c r="N16">
        <f>N14*N15</f>
        <v>0.42013888888888884</v>
      </c>
      <c r="O16" s="40" t="s">
        <v>103</v>
      </c>
    </row>
    <row r="17" spans="1:15" x14ac:dyDescent="0.25">
      <c r="A17" t="s">
        <v>115</v>
      </c>
      <c r="B17" s="56">
        <v>0.14000000000000001</v>
      </c>
      <c r="M17" t="s">
        <v>126</v>
      </c>
      <c r="N17">
        <v>2.86E-2</v>
      </c>
      <c r="O17" t="s">
        <v>103</v>
      </c>
    </row>
    <row r="18" spans="1:15" x14ac:dyDescent="0.25">
      <c r="M18" t="s">
        <v>130</v>
      </c>
      <c r="N18">
        <f>(N14+N15)/2/N13</f>
        <v>0.14347826086956522</v>
      </c>
    </row>
    <row r="22" spans="1:15" x14ac:dyDescent="0.25">
      <c r="A22" s="44"/>
      <c r="B22" s="51" t="s">
        <v>109</v>
      </c>
      <c r="C22" s="51" t="s">
        <v>110</v>
      </c>
      <c r="D22" s="51" t="s">
        <v>114</v>
      </c>
      <c r="E22" s="51" t="s">
        <v>111</v>
      </c>
      <c r="F22" s="51" t="s">
        <v>131</v>
      </c>
    </row>
    <row r="23" spans="1:15" x14ac:dyDescent="0.25">
      <c r="A23" s="39" t="s">
        <v>107</v>
      </c>
      <c r="B23" s="45">
        <f>B16</f>
        <v>12.600000000000001</v>
      </c>
      <c r="C23" s="45">
        <f>1+2*B17+60*B17^4</f>
        <v>1.3030496</v>
      </c>
      <c r="D23" s="46">
        <f>$B$15*$C$7</f>
        <v>497376.11292260262</v>
      </c>
      <c r="E23" s="47">
        <f>IF(D23&lt;500000,1.328/SQRT(D23),1/(3.46*LOG10(D23)-5.6)^2)</f>
        <v>1.8830229495821853E-3</v>
      </c>
      <c r="F23" s="47">
        <f>B23*C23*E23/$B$12</f>
        <v>5.1527118326121632E-3</v>
      </c>
    </row>
    <row r="24" spans="1:15" x14ac:dyDescent="0.25">
      <c r="A24" s="39" t="s">
        <v>108</v>
      </c>
      <c r="B24" s="45">
        <f>N12</f>
        <v>8.3429645047765799</v>
      </c>
      <c r="C24" s="45">
        <f>1-0.2896*N18+5.41*N18^2+88*N18^3-238.7*N18^4</f>
        <v>1.2285825782140574</v>
      </c>
      <c r="D24" s="46">
        <f>C7*N13</f>
        <v>2574215.5972558516</v>
      </c>
      <c r="E24" s="47">
        <f t="shared" ref="E24:E26" si="0">IF(D24&lt;500000,1.328/SQRT(D24),1/(3.46*LOG10(D24)-5.6)^2)</f>
        <v>3.6373692646785405E-3</v>
      </c>
      <c r="F24" s="47">
        <f t="shared" ref="F24:F26" si="1">B24*C24*E24/$B$12</f>
        <v>6.2138517950321255E-3</v>
      </c>
    </row>
    <row r="25" spans="1:15" x14ac:dyDescent="0.25">
      <c r="A25" s="39" t="s">
        <v>112</v>
      </c>
      <c r="B25" s="45">
        <f>H13</f>
        <v>1.9949999999999999</v>
      </c>
      <c r="C25" s="45">
        <f>1+2*H15+60*H15^4</f>
        <v>1.2524416</v>
      </c>
      <c r="D25" s="46">
        <f>$H$14*$C$7</f>
        <v>268613.80145278451</v>
      </c>
      <c r="E25" s="47">
        <f t="shared" si="0"/>
        <v>2.5623232275131728E-3</v>
      </c>
      <c r="F25" s="47">
        <f t="shared" si="1"/>
        <v>1.0670457674256007E-3</v>
      </c>
    </row>
    <row r="26" spans="1:15" x14ac:dyDescent="0.25">
      <c r="A26" s="39" t="s">
        <v>113</v>
      </c>
      <c r="B26" s="45">
        <f>K13</f>
        <v>0.63</v>
      </c>
      <c r="C26" s="45">
        <f>1+2*K15+60*K15^4</f>
        <v>1.2524416</v>
      </c>
      <c r="D26" s="46">
        <f>$K$14*$C$7</f>
        <v>268613.80145278451</v>
      </c>
      <c r="E26" s="47">
        <f t="shared" si="0"/>
        <v>2.5623232275131728E-3</v>
      </c>
      <c r="F26" s="47">
        <f t="shared" si="1"/>
        <v>3.3696182129229501E-4</v>
      </c>
    </row>
    <row r="27" spans="1:15" x14ac:dyDescent="0.25">
      <c r="A27" s="39" t="s">
        <v>117</v>
      </c>
      <c r="B27" s="45">
        <f>N17</f>
        <v>2.86E-2</v>
      </c>
      <c r="C27" s="48"/>
      <c r="D27" s="48"/>
      <c r="E27" s="48"/>
      <c r="F27" s="47">
        <f>B27/B12*0.16</f>
        <v>7.626666666666667E-4</v>
      </c>
    </row>
    <row r="28" spans="1:15" x14ac:dyDescent="0.25">
      <c r="A28" s="39" t="s">
        <v>118</v>
      </c>
      <c r="B28" s="45">
        <f>R15</f>
        <v>3.125E-2</v>
      </c>
      <c r="C28" s="48"/>
      <c r="D28" s="48"/>
      <c r="E28" s="48"/>
      <c r="F28" s="47">
        <f>B28/B12*1</f>
        <v>5.208333333333333E-3</v>
      </c>
    </row>
    <row r="29" spans="1:15" x14ac:dyDescent="0.25">
      <c r="A29" s="39" t="s">
        <v>205</v>
      </c>
      <c r="B29" s="48"/>
      <c r="C29" s="48"/>
      <c r="D29" s="48"/>
      <c r="E29" s="48"/>
      <c r="F29" s="47">
        <f>0.05*SUM(F23:F27)</f>
        <v>6.7666189415144262E-4</v>
      </c>
    </row>
    <row r="30" spans="1:15" x14ac:dyDescent="0.25">
      <c r="A30" s="41" t="s">
        <v>116</v>
      </c>
      <c r="B30" s="49"/>
      <c r="C30" s="49"/>
      <c r="D30" s="49"/>
      <c r="E30" s="49"/>
      <c r="F30" s="50">
        <f>SUM(F23:F29)</f>
        <v>1.9418233110513626E-2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1"/>
  <sheetViews>
    <sheetView tabSelected="1" workbookViewId="0">
      <selection activeCell="L10" sqref="L10"/>
    </sheetView>
  </sheetViews>
  <sheetFormatPr defaultRowHeight="15" x14ac:dyDescent="0.25"/>
  <cols>
    <col min="1" max="1" width="12.140625" customWidth="1"/>
    <col min="2" max="3" width="16.5703125" customWidth="1"/>
    <col min="4" max="4" width="14" customWidth="1"/>
    <col min="5" max="5" width="14.42578125" customWidth="1"/>
    <col min="6" max="6" width="11" customWidth="1"/>
    <col min="7" max="7" width="15" customWidth="1"/>
    <col min="8" max="8" width="15.42578125" customWidth="1"/>
    <col min="9" max="9" width="14.7109375" customWidth="1"/>
    <col min="15" max="15" width="11.85546875" customWidth="1"/>
    <col min="16" max="16" width="15.85546875" customWidth="1"/>
    <col min="17" max="18" width="11" customWidth="1"/>
  </cols>
  <sheetData>
    <row r="1" spans="1:26" ht="36" x14ac:dyDescent="0.55000000000000004">
      <c r="A1" s="85" t="s">
        <v>185</v>
      </c>
    </row>
    <row r="4" spans="1:26" x14ac:dyDescent="0.25">
      <c r="A4" t="s">
        <v>107</v>
      </c>
      <c r="F4" t="s">
        <v>122</v>
      </c>
      <c r="K4" t="s">
        <v>186</v>
      </c>
      <c r="P4" t="s">
        <v>121</v>
      </c>
      <c r="U4" t="s">
        <v>187</v>
      </c>
      <c r="Y4" t="s">
        <v>210</v>
      </c>
    </row>
    <row r="5" spans="1:26" x14ac:dyDescent="0.25">
      <c r="A5" t="s">
        <v>94</v>
      </c>
      <c r="B5">
        <f>AR</f>
        <v>7</v>
      </c>
      <c r="F5" t="s">
        <v>123</v>
      </c>
      <c r="G5">
        <f>Fuse_Len</f>
        <v>4.791666666666667</v>
      </c>
      <c r="H5" t="s">
        <v>70</v>
      </c>
      <c r="I5">
        <f>G5*12</f>
        <v>57.5</v>
      </c>
      <c r="J5" t="s">
        <v>72</v>
      </c>
      <c r="K5" t="s">
        <v>120</v>
      </c>
      <c r="L5">
        <f>S_HT</f>
        <v>0.95</v>
      </c>
      <c r="M5" t="s">
        <v>70</v>
      </c>
      <c r="N5">
        <f>L5*12</f>
        <v>11.399999999999999</v>
      </c>
      <c r="O5" t="s">
        <v>72</v>
      </c>
      <c r="P5" t="s">
        <v>120</v>
      </c>
      <c r="Q5">
        <f>S_VT</f>
        <v>0.3</v>
      </c>
      <c r="R5" t="s">
        <v>70</v>
      </c>
      <c r="S5" s="40">
        <f t="shared" ref="S5:S6" si="0">Q5*12</f>
        <v>3.5999999999999996</v>
      </c>
      <c r="T5" t="s">
        <v>72</v>
      </c>
      <c r="U5" t="s">
        <v>188</v>
      </c>
      <c r="V5">
        <v>5.7800000000000004E-3</v>
      </c>
      <c r="W5" t="s">
        <v>189</v>
      </c>
      <c r="Y5">
        <f>1/8</f>
        <v>0.125</v>
      </c>
      <c r="Z5" t="s">
        <v>72</v>
      </c>
    </row>
    <row r="6" spans="1:26" x14ac:dyDescent="0.25">
      <c r="A6" t="s">
        <v>104</v>
      </c>
      <c r="B6">
        <f>'CD0 calculator'!B14</f>
        <v>6.4807406984078604</v>
      </c>
      <c r="C6" t="s">
        <v>70</v>
      </c>
      <c r="D6">
        <f>B6*12</f>
        <v>77.768888380894325</v>
      </c>
      <c r="E6" t="s">
        <v>72</v>
      </c>
      <c r="F6" t="s">
        <v>124</v>
      </c>
      <c r="G6">
        <f>Fuse_W</f>
        <v>0.91666666666666663</v>
      </c>
      <c r="H6" t="s">
        <v>70</v>
      </c>
      <c r="I6" s="40">
        <f t="shared" ref="I6:I7" si="1">G6*12</f>
        <v>11</v>
      </c>
      <c r="J6" t="s">
        <v>72</v>
      </c>
      <c r="K6" t="s">
        <v>106</v>
      </c>
      <c r="L6">
        <f>'CD0 calculator'!H14</f>
        <v>0.5</v>
      </c>
      <c r="M6" t="s">
        <v>70</v>
      </c>
      <c r="N6" s="40">
        <f t="shared" ref="N6:N9" si="2">L6*12</f>
        <v>6</v>
      </c>
      <c r="O6" t="s">
        <v>72</v>
      </c>
      <c r="P6" t="s">
        <v>106</v>
      </c>
      <c r="Q6">
        <f>'CD0 calculator'!K14</f>
        <v>0.5</v>
      </c>
      <c r="R6" t="s">
        <v>70</v>
      </c>
      <c r="S6" s="40">
        <f t="shared" si="0"/>
        <v>6</v>
      </c>
      <c r="T6" t="s">
        <v>72</v>
      </c>
      <c r="U6" t="s">
        <v>211</v>
      </c>
      <c r="V6">
        <v>1.07E-3</v>
      </c>
      <c r="W6" t="s">
        <v>189</v>
      </c>
    </row>
    <row r="7" spans="1:26" x14ac:dyDescent="0.25">
      <c r="A7" t="s">
        <v>106</v>
      </c>
      <c r="B7">
        <f>'CD0 calculator'!B15</f>
        <v>0.92582009977255153</v>
      </c>
      <c r="C7" t="s">
        <v>70</v>
      </c>
      <c r="D7" s="40">
        <f>B7*12</f>
        <v>11.109841197270619</v>
      </c>
      <c r="E7" t="s">
        <v>72</v>
      </c>
      <c r="F7" t="s">
        <v>125</v>
      </c>
      <c r="G7">
        <f>Fuse_H</f>
        <v>0.45833333333333331</v>
      </c>
      <c r="H7" t="s">
        <v>70</v>
      </c>
      <c r="I7" s="40">
        <f t="shared" si="1"/>
        <v>5.5</v>
      </c>
      <c r="J7" t="s">
        <v>72</v>
      </c>
      <c r="K7" t="s">
        <v>115</v>
      </c>
      <c r="L7">
        <f>tOc_HT</f>
        <v>0.12</v>
      </c>
      <c r="N7" s="40"/>
      <c r="P7" t="s">
        <v>115</v>
      </c>
      <c r="Q7">
        <f>tOc_VT</f>
        <v>0.12</v>
      </c>
      <c r="S7" s="40"/>
      <c r="U7" t="s">
        <v>212</v>
      </c>
      <c r="V7">
        <v>2.2328220000000002E-3</v>
      </c>
      <c r="W7" t="s">
        <v>189</v>
      </c>
    </row>
    <row r="8" spans="1:26" x14ac:dyDescent="0.25">
      <c r="A8" t="s">
        <v>115</v>
      </c>
      <c r="B8">
        <f>tOC_wing</f>
        <v>0.14000000000000001</v>
      </c>
      <c r="K8" t="s">
        <v>190</v>
      </c>
      <c r="L8">
        <f xml:space="preserve"> 2*(5*L7)*(0.296/(3/2)-0.126/2-0.3516/3+0.2843/4-0.1015/5)</f>
        <v>8.1489999999999979E-2</v>
      </c>
      <c r="N8" s="40"/>
      <c r="P8" t="s">
        <v>190</v>
      </c>
      <c r="Q8">
        <f xml:space="preserve"> 2*(5*Q7)*(0.296/(3/2)-0.126/2-0.3516/3+0.2843/4-0.1015/5)</f>
        <v>8.1489999999999979E-2</v>
      </c>
      <c r="S8" s="40"/>
      <c r="U8" t="s">
        <v>213</v>
      </c>
    </row>
    <row r="9" spans="1:26" x14ac:dyDescent="0.25">
      <c r="A9" t="s">
        <v>190</v>
      </c>
      <c r="B9">
        <f xml:space="preserve"> 2*(5*B8)*(0.296/(3/2)-0.126/2-0.3516/3+0.2843/4-0.1015/5)</f>
        <v>9.5071666666666652E-2</v>
      </c>
      <c r="K9" t="s">
        <v>191</v>
      </c>
      <c r="L9">
        <f>L5/L6</f>
        <v>1.9</v>
      </c>
      <c r="M9" t="s">
        <v>70</v>
      </c>
      <c r="N9" s="40">
        <f t="shared" si="2"/>
        <v>22.799999999999997</v>
      </c>
      <c r="O9" t="s">
        <v>72</v>
      </c>
      <c r="P9" t="s">
        <v>191</v>
      </c>
      <c r="Q9">
        <f>Q5/Q6</f>
        <v>0.6</v>
      </c>
      <c r="R9" t="s">
        <v>70</v>
      </c>
      <c r="S9">
        <f>Q9*12</f>
        <v>7.1999999999999993</v>
      </c>
      <c r="T9" t="s">
        <v>72</v>
      </c>
    </row>
    <row r="11" spans="1:26" x14ac:dyDescent="0.25">
      <c r="B11" t="s">
        <v>234</v>
      </c>
      <c r="G11" s="91" t="s">
        <v>233</v>
      </c>
      <c r="O11" t="s">
        <v>214</v>
      </c>
      <c r="P11" t="s">
        <v>215</v>
      </c>
      <c r="Q11" t="s">
        <v>216</v>
      </c>
      <c r="R11" t="s">
        <v>217</v>
      </c>
    </row>
    <row r="12" spans="1:26" x14ac:dyDescent="0.25">
      <c r="A12" t="s">
        <v>236</v>
      </c>
      <c r="B12" t="s">
        <v>230</v>
      </c>
      <c r="C12" t="s">
        <v>231</v>
      </c>
      <c r="D12" t="s">
        <v>232</v>
      </c>
      <c r="E12" t="s">
        <v>235</v>
      </c>
      <c r="G12" t="s">
        <v>236</v>
      </c>
      <c r="H12" t="s">
        <v>232</v>
      </c>
      <c r="I12" t="s">
        <v>235</v>
      </c>
      <c r="O12">
        <v>2</v>
      </c>
      <c r="P12" t="s">
        <v>218</v>
      </c>
      <c r="Q12" s="93">
        <f>0.119*O12</f>
        <v>0.23799999999999999</v>
      </c>
      <c r="R12" t="s">
        <v>192</v>
      </c>
    </row>
    <row r="13" spans="1:26" x14ac:dyDescent="0.25">
      <c r="A13" t="s">
        <v>219</v>
      </c>
      <c r="B13">
        <f>(B9*B6)*(B6-G6)/B5</f>
        <v>0.48974567840769684</v>
      </c>
      <c r="C13">
        <f>B13*12^3</f>
        <v>846.28053228850013</v>
      </c>
      <c r="D13" s="94">
        <f>C13*V6</f>
        <v>0.90552016954869508</v>
      </c>
      <c r="E13" s="94">
        <f>Table3[[#This Row],[WEIGHT (LB)]]*16</f>
        <v>14.488322712779121</v>
      </c>
      <c r="G13" s="91" t="s">
        <v>212</v>
      </c>
      <c r="H13" s="94">
        <f>C13*V7</f>
        <v>1.8895937906654736</v>
      </c>
      <c r="I13" s="94">
        <f>Table4[[#This Row],[WEIGHT (LB)]]*16</f>
        <v>30.233500650647578</v>
      </c>
      <c r="P13" t="s">
        <v>220</v>
      </c>
      <c r="Q13" s="93">
        <f>0.3</f>
        <v>0.3</v>
      </c>
      <c r="R13" t="s">
        <v>192</v>
      </c>
    </row>
    <row r="14" spans="1:26" x14ac:dyDescent="0.25">
      <c r="A14" t="s">
        <v>194</v>
      </c>
      <c r="B14">
        <f>(L8*L9*L6)</f>
        <v>7.741549999999997E-2</v>
      </c>
      <c r="C14">
        <f>B14*12^3</f>
        <v>133.77398399999996</v>
      </c>
      <c r="D14" s="94">
        <f>C14*V6</f>
        <v>0.14313816287999995</v>
      </c>
      <c r="E14" s="94">
        <f>Table3[[#This Row],[WEIGHT (LB)]]*16</f>
        <v>2.2902106060799992</v>
      </c>
      <c r="G14" s="91" t="str">
        <f t="shared" ref="G14:G19" si="3">A14</f>
        <v>Horiz Tail</v>
      </c>
      <c r="H14" s="94">
        <f t="shared" ref="H14:H19" si="4">D14</f>
        <v>0.14313816287999995</v>
      </c>
      <c r="I14" s="94">
        <f>Table4[[#This Row],[WEIGHT (LB)]]*16</f>
        <v>2.2902106060799992</v>
      </c>
      <c r="P14" t="s">
        <v>221</v>
      </c>
      <c r="Q14" s="93">
        <v>0.18</v>
      </c>
      <c r="R14" t="s">
        <v>192</v>
      </c>
    </row>
    <row r="15" spans="1:26" x14ac:dyDescent="0.25">
      <c r="A15" t="s">
        <v>195</v>
      </c>
      <c r="B15">
        <f>(Q8*Q9*Q6)</f>
        <v>2.4446999999999993E-2</v>
      </c>
      <c r="C15">
        <f>B15*12^3</f>
        <v>42.244415999999987</v>
      </c>
      <c r="D15" s="94">
        <f>C15*V6</f>
        <v>4.5201525119999988E-2</v>
      </c>
      <c r="E15" s="94">
        <f>Table3[[#This Row],[WEIGHT (LB)]]*16</f>
        <v>0.72322440191999982</v>
      </c>
      <c r="G15" s="91" t="str">
        <f t="shared" si="3"/>
        <v>Vert Tail</v>
      </c>
      <c r="H15" s="94">
        <f t="shared" si="4"/>
        <v>4.5201525119999988E-2</v>
      </c>
      <c r="I15" s="94">
        <f>Table4[[#This Row],[WEIGHT (LB)]]*16</f>
        <v>0.72322440191999982</v>
      </c>
      <c r="P15" t="s">
        <v>222</v>
      </c>
      <c r="Q15" s="93">
        <f>0.02*4</f>
        <v>0.08</v>
      </c>
      <c r="R15" t="s">
        <v>192</v>
      </c>
    </row>
    <row r="16" spans="1:26" x14ac:dyDescent="0.25">
      <c r="A16" t="s">
        <v>223</v>
      </c>
      <c r="D16" s="94">
        <f>SWET_nose*0.125*V5</f>
        <v>7.4888285488855802E-2</v>
      </c>
      <c r="E16" s="94">
        <f>Table3[[#This Row],[WEIGHT (LB)]]*16</f>
        <v>1.1982125678216928</v>
      </c>
      <c r="G16" s="91" t="str">
        <f t="shared" si="3"/>
        <v>Nose</v>
      </c>
      <c r="H16" s="94">
        <f t="shared" si="4"/>
        <v>7.4888285488855802E-2</v>
      </c>
      <c r="I16" s="94">
        <f>Table4[[#This Row],[WEIGHT (LB)]]*16</f>
        <v>1.1982125678216928</v>
      </c>
      <c r="P16" t="s">
        <v>224</v>
      </c>
      <c r="Q16" s="93">
        <v>0.11899999999999999</v>
      </c>
      <c r="R16" t="s">
        <v>192</v>
      </c>
    </row>
    <row r="17" spans="1:18" x14ac:dyDescent="0.25">
      <c r="A17" t="s">
        <v>225</v>
      </c>
      <c r="D17" s="94">
        <f>SWET_tail*0.125*V5</f>
        <v>0.27652624158809946</v>
      </c>
      <c r="E17" s="94">
        <f>Table3[[#This Row],[WEIGHT (LB)]]*16</f>
        <v>4.4244198654095914</v>
      </c>
      <c r="G17" s="91" t="str">
        <f t="shared" si="3"/>
        <v>Tail</v>
      </c>
      <c r="H17" s="94">
        <f t="shared" si="4"/>
        <v>0.27652624158809946</v>
      </c>
      <c r="I17" s="94">
        <f>Table4[[#This Row],[WEIGHT (LB)]]*16</f>
        <v>4.4244198654095914</v>
      </c>
      <c r="P17" t="s">
        <v>226</v>
      </c>
      <c r="Q17" s="93">
        <f>0.49/16</f>
        <v>3.0624999999999999E-2</v>
      </c>
      <c r="R17" t="s">
        <v>192</v>
      </c>
    </row>
    <row r="18" spans="1:18" x14ac:dyDescent="0.25">
      <c r="A18" t="s">
        <v>193</v>
      </c>
      <c r="D18" s="94">
        <f>SWET_mid*Y5*V5</f>
        <v>0.51658750000000009</v>
      </c>
      <c r="E18" s="94">
        <f>Table3[[#This Row],[WEIGHT (LB)]]*16</f>
        <v>8.2654000000000014</v>
      </c>
      <c r="G18" s="91" t="str">
        <f t="shared" si="3"/>
        <v>Fuselage</v>
      </c>
      <c r="H18" s="94">
        <f t="shared" si="4"/>
        <v>0.51658750000000009</v>
      </c>
      <c r="I18" s="94">
        <f>Table4[[#This Row],[WEIGHT (LB)]]*16</f>
        <v>8.2654000000000014</v>
      </c>
      <c r="P18" t="s">
        <v>227</v>
      </c>
      <c r="Q18" s="93">
        <f>0.0065</f>
        <v>6.4999999999999997E-3</v>
      </c>
      <c r="R18" t="s">
        <v>192</v>
      </c>
    </row>
    <row r="19" spans="1:18" x14ac:dyDescent="0.25">
      <c r="A19" t="s">
        <v>228</v>
      </c>
      <c r="D19" s="94">
        <f>SUM(Table1[Column1])</f>
        <v>1.064125</v>
      </c>
      <c r="E19" s="94">
        <f>Table3[[#This Row],[WEIGHT (LB)]]*16</f>
        <v>17.026</v>
      </c>
      <c r="G19" s="91" t="str">
        <f t="shared" si="3"/>
        <v>E Comp</v>
      </c>
      <c r="H19" s="94">
        <f t="shared" si="4"/>
        <v>1.064125</v>
      </c>
      <c r="I19" s="94">
        <f>Table4[[#This Row],[WEIGHT (LB)]]*16</f>
        <v>17.026</v>
      </c>
      <c r="P19" t="s">
        <v>221</v>
      </c>
      <c r="Q19" s="93">
        <v>0.11</v>
      </c>
      <c r="R19" t="s">
        <v>192</v>
      </c>
    </row>
    <row r="20" spans="1:18" x14ac:dyDescent="0.25">
      <c r="A20" s="86" t="s">
        <v>196</v>
      </c>
      <c r="C20" t="s">
        <v>229</v>
      </c>
      <c r="D20" s="86">
        <f>ROUND(SUM(D13:D19),2)</f>
        <v>3.03</v>
      </c>
      <c r="E20" s="86">
        <f>Table3[[#This Row],[WEIGHT (LB)]]*16</f>
        <v>48.48</v>
      </c>
      <c r="G20" s="92" t="s">
        <v>237</v>
      </c>
      <c r="H20" s="92">
        <f>ROUND(SUM(D14:D19)+H13,2)</f>
        <v>4.01</v>
      </c>
      <c r="I20" s="92">
        <f>Table4[[#This Row],[WEIGHT (LB)]]*16</f>
        <v>64.16</v>
      </c>
    </row>
    <row r="21" spans="1:18" x14ac:dyDescent="0.25">
      <c r="D21" s="86"/>
      <c r="H21" s="40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76</vt:i4>
      </vt:variant>
    </vt:vector>
  </HeadingPairs>
  <TitlesOfParts>
    <vt:vector size="80" baseType="lpstr">
      <vt:lpstr>Performance Data</vt:lpstr>
      <vt:lpstr>Aircraft Dimensions</vt:lpstr>
      <vt:lpstr>CD0 calculator</vt:lpstr>
      <vt:lpstr>Aircraft Weight</vt:lpstr>
      <vt:lpstr>AR</vt:lpstr>
      <vt:lpstr>AR_e</vt:lpstr>
      <vt:lpstr>BATWEIGHT</vt:lpstr>
      <vt:lpstr>CARGO_HEIGHT</vt:lpstr>
      <vt:lpstr>CARGO_LENGTH</vt:lpstr>
      <vt:lpstr>CARGO_ROWS</vt:lpstr>
      <vt:lpstr>CARGO_WIDTH</vt:lpstr>
      <vt:lpstr>CARGOperROW</vt:lpstr>
      <vt:lpstr>CD0</vt:lpstr>
      <vt:lpstr>CRUD_HEIGHT</vt:lpstr>
      <vt:lpstr>CRUD_LENGTH</vt:lpstr>
      <vt:lpstr>CRUD_LENGTH_nose</vt:lpstr>
      <vt:lpstr>CRUD_LENGTH_tail</vt:lpstr>
      <vt:lpstr>CRUD_WIDTH</vt:lpstr>
      <vt:lpstr>ENDURANCE</vt:lpstr>
      <vt:lpstr>EW</vt:lpstr>
      <vt:lpstr>ExternalServoHeight</vt:lpstr>
      <vt:lpstr>ExternalServoWidth</vt:lpstr>
      <vt:lpstr>Fuse_H</vt:lpstr>
      <vt:lpstr>Fuse_Len</vt:lpstr>
      <vt:lpstr>Fuse_W</vt:lpstr>
      <vt:lpstr>HEADWIND</vt:lpstr>
      <vt:lpstr>LandingGearHeight</vt:lpstr>
      <vt:lpstr>LandingGearWidth</vt:lpstr>
      <vt:lpstr>M1_TURN_MARGIN</vt:lpstr>
      <vt:lpstr>m2_turn_margin</vt:lpstr>
      <vt:lpstr>m3_turn_margin</vt:lpstr>
      <vt:lpstr>MISSION1_STALL</vt:lpstr>
      <vt:lpstr>MISSION1_TODIST</vt:lpstr>
      <vt:lpstr>MISSION1_TOP</vt:lpstr>
      <vt:lpstr>MISSION1_WARNING</vt:lpstr>
      <vt:lpstr>MISSION2_STALL</vt:lpstr>
      <vt:lpstr>MISSION2_TIME</vt:lpstr>
      <vt:lpstr>MISSION2_TODIST</vt:lpstr>
      <vt:lpstr>MISSION2_TOP</vt:lpstr>
      <vt:lpstr>MISSION2_WARNING</vt:lpstr>
      <vt:lpstr>MISSION3_LAPS</vt:lpstr>
      <vt:lpstr>MISSION3_STALL</vt:lpstr>
      <vt:lpstr>MISSION3_TODIST</vt:lpstr>
      <vt:lpstr>MISSION3_TOP</vt:lpstr>
      <vt:lpstr>MISSION3_WARNING</vt:lpstr>
      <vt:lpstr>NBLOX</vt:lpstr>
      <vt:lpstr>NENG</vt:lpstr>
      <vt:lpstr>NPAX</vt:lpstr>
      <vt:lpstr>NUMCELLS</vt:lpstr>
      <vt:lpstr>OEW</vt:lpstr>
      <vt:lpstr>OverallScore</vt:lpstr>
      <vt:lpstr>PAX_DIMENSIONS</vt:lpstr>
      <vt:lpstr>PAX_ROWS</vt:lpstr>
      <vt:lpstr>PAXperROW</vt:lpstr>
      <vt:lpstr>penalty</vt:lpstr>
      <vt:lpstr>RAC</vt:lpstr>
      <vt:lpstr>S_HT</vt:lpstr>
      <vt:lpstr>S_VT</vt:lpstr>
      <vt:lpstr>Spi</vt:lpstr>
      <vt:lpstr>Sref</vt:lpstr>
      <vt:lpstr>SWET_fuse</vt:lpstr>
      <vt:lpstr>SWET_mid</vt:lpstr>
      <vt:lpstr>SWET_nose</vt:lpstr>
      <vt:lpstr>sWet_t</vt:lpstr>
      <vt:lpstr>SWET_tail</vt:lpstr>
      <vt:lpstr>sync</vt:lpstr>
      <vt:lpstr>Tail_End_Height</vt:lpstr>
      <vt:lpstr>Tail_End_Width</vt:lpstr>
      <vt:lpstr>TAIL_Swet</vt:lpstr>
      <vt:lpstr>Tire_D</vt:lpstr>
      <vt:lpstr>Tire_W</vt:lpstr>
      <vt:lpstr>tOc_HT</vt:lpstr>
      <vt:lpstr>tOc_VT</vt:lpstr>
      <vt:lpstr>tOC_wing</vt:lpstr>
      <vt:lpstr>TOW_M1</vt:lpstr>
      <vt:lpstr>TOW_M2</vt:lpstr>
      <vt:lpstr>TOW_M3</vt:lpstr>
      <vt:lpstr>TrunionHeight</vt:lpstr>
      <vt:lpstr>TrunionWidth</vt:lpstr>
      <vt:lpstr>WSPAN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Timothy Takahashi</cp:lastModifiedBy>
  <cp:lastPrinted>2014-12-18T16:36:06Z</cp:lastPrinted>
  <dcterms:created xsi:type="dcterms:W3CDTF">2012-11-17T04:50:56Z</dcterms:created>
  <dcterms:modified xsi:type="dcterms:W3CDTF">2017-10-16T20:53:32Z</dcterms:modified>
</cp:coreProperties>
</file>