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0" yWindow="0" windowWidth="25125" windowHeight="12210"/>
  </bookViews>
  <sheets>
    <sheet name="Performance Data" sheetId="1" r:id="rId1"/>
    <sheet name="Aircraft Dimensions" sheetId="3" r:id="rId2"/>
    <sheet name="CD0 calculator" sheetId="2" r:id="rId3"/>
    <sheet name="Aircraft Weight" sheetId="4" r:id="rId4"/>
  </sheets>
  <definedNames>
    <definedName name="AR">'CD0 calculator'!$B$13</definedName>
    <definedName name="AR_e">'Performance Data'!$P$12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ENDURANCE">'Performance Data'!$B$22</definedName>
    <definedName name="EW">'Aircraft Weight'!$F$20</definedName>
    <definedName name="ExternalServoHeight">'Aircraft Dimensions'!$E$19</definedName>
    <definedName name="ExternalServoWidth">'Aircraft Dimensions'!$E$18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LandingGearHeight">'Aircraft Dimensions'!$E$17</definedName>
    <definedName name="LandingGearWidth">'Aircraft Dimensions'!$E$16</definedName>
    <definedName name="M1_TURN_MARGIN">'Performance Data'!$L$9</definedName>
    <definedName name="m2_turn_margin">'Performance Data'!$L$14</definedName>
    <definedName name="m3_turn_margin">'Performance Data'!$L$19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Data'!$J$11</definedName>
    <definedName name="MISSION2_TIME">'Performance Data'!$B$45</definedName>
    <definedName name="MISSION2_TODIST">'Performance Data'!$J$13</definedName>
    <definedName name="MISSION2_TOP">'Performance Data'!$J$12</definedName>
    <definedName name="MISSION2_WARNING">'Performance Data'!$L$13</definedName>
    <definedName name="MISSION3_LAPS">'Performance Data'!$B$49</definedName>
    <definedName name="MISSION3_STALL">'Performance Data'!$J$16</definedName>
    <definedName name="MISSION3_TODIST">'Performance Data'!$J$18</definedName>
    <definedName name="MISSION3_TOP">'Performance Data'!$J$17</definedName>
    <definedName name="MISSION3_WARNING">'Performance Data'!$L$18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Data'!$L$22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Data'!$J$23</definedName>
    <definedName name="Tail_End_Height">'Aircraft Dimensions'!$E$15</definedName>
    <definedName name="Tail_End_Width">'Aircraft Dimensions'!$E$14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TrunionHeight">'Aircraft Dimensions'!$E$21</definedName>
    <definedName name="TrunionWidth">'Aircraft Dimensions'!$E$20</definedName>
    <definedName name="WSPAN">'Performance Data'!$B$51</definedName>
  </definedNames>
  <calcPr calcId="145621"/>
  <fileRecoveryPr autoRecover="0"/>
</workbook>
</file>

<file path=xl/calcChain.xml><?xml version="1.0" encoding="utf-8"?>
<calcChain xmlns="http://schemas.openxmlformats.org/spreadsheetml/2006/main">
  <c r="F20" i="4" l="1"/>
  <c r="B8" i="4" l="1"/>
  <c r="B22" i="1"/>
  <c r="B21" i="1"/>
  <c r="F16" i="4" l="1"/>
  <c r="F15" i="4"/>
  <c r="D16" i="4"/>
  <c r="D15" i="4"/>
  <c r="B16" i="4"/>
  <c r="B15" i="4"/>
  <c r="S5" i="4"/>
  <c r="S6" i="4"/>
  <c r="S9" i="4"/>
  <c r="Q9" i="4"/>
  <c r="Q8" i="4"/>
  <c r="Q7" i="4"/>
  <c r="Q6" i="4"/>
  <c r="Q5" i="4"/>
  <c r="L8" i="4"/>
  <c r="L6" i="4"/>
  <c r="N6" i="4" s="1"/>
  <c r="L5" i="4"/>
  <c r="N5" i="4" s="1"/>
  <c r="N9" i="4"/>
  <c r="L9" i="4"/>
  <c r="L7" i="4"/>
  <c r="D7" i="4"/>
  <c r="D6" i="4"/>
  <c r="B9" i="4"/>
  <c r="B7" i="4"/>
  <c r="B6" i="4"/>
  <c r="B5" i="4"/>
  <c r="L19" i="1" l="1"/>
  <c r="L14" i="1"/>
  <c r="L9" i="1"/>
  <c r="F21" i="3" l="1"/>
  <c r="F19" i="3"/>
  <c r="F17" i="3"/>
  <c r="F15" i="3"/>
  <c r="F22" i="3" s="1"/>
  <c r="O18" i="1" l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U45" i="1" l="1"/>
  <c r="P44" i="1"/>
  <c r="U48" i="1"/>
  <c r="P47" i="1"/>
  <c r="Q47" i="1" s="1"/>
  <c r="U43" i="1"/>
  <c r="O49" i="1"/>
  <c r="U46" i="1"/>
  <c r="P45" i="1"/>
  <c r="Q45" i="1" s="1"/>
  <c r="U47" i="1"/>
  <c r="P46" i="1"/>
  <c r="Q46" i="1" s="1"/>
  <c r="U44" i="1"/>
  <c r="P43" i="1"/>
  <c r="Q43" i="1" s="1"/>
  <c r="Q48" i="1"/>
  <c r="Q44" i="1"/>
  <c r="U42" i="1"/>
  <c r="P40" i="1"/>
  <c r="Q40" i="1" s="1"/>
  <c r="U39" i="1"/>
  <c r="P39" i="1"/>
  <c r="U38" i="1"/>
  <c r="P36" i="1"/>
  <c r="Q36" i="1" s="1"/>
  <c r="P42" i="1"/>
  <c r="Q42" i="1" s="1"/>
  <c r="U41" i="1"/>
  <c r="P41" i="1"/>
  <c r="U40" i="1"/>
  <c r="P38" i="1"/>
  <c r="Q38" i="1" s="1"/>
  <c r="U37" i="1"/>
  <c r="P37" i="1"/>
  <c r="U36" i="1"/>
  <c r="I2" i="3"/>
  <c r="H2" i="3"/>
  <c r="H10" i="3" l="1"/>
  <c r="U49" i="1"/>
  <c r="O50" i="1"/>
  <c r="P49" i="1"/>
  <c r="Q49" i="1" s="1"/>
  <c r="Q37" i="1"/>
  <c r="Q41" i="1"/>
  <c r="Q39" i="1"/>
  <c r="B34" i="1"/>
  <c r="B32" i="1"/>
  <c r="O51" i="1" l="1"/>
  <c r="P50" i="1"/>
  <c r="Q50" i="1" s="1"/>
  <c r="U50" i="1"/>
  <c r="N13" i="2"/>
  <c r="G5" i="4" s="1"/>
  <c r="I5" i="4" s="1"/>
  <c r="F2" i="3"/>
  <c r="B33" i="1" s="1"/>
  <c r="I1" i="3"/>
  <c r="K3" i="3"/>
  <c r="H3" i="3"/>
  <c r="H11" i="3" s="1"/>
  <c r="C2" i="3"/>
  <c r="B31" i="1" s="1"/>
  <c r="H1" i="3"/>
  <c r="H9" i="3" s="1"/>
  <c r="N15" i="2" l="1"/>
  <c r="G7" i="4" s="1"/>
  <c r="I7" i="4" s="1"/>
  <c r="B16" i="3"/>
  <c r="C16" i="3" s="1"/>
  <c r="N14" i="2"/>
  <c r="B17" i="3"/>
  <c r="B15" i="3"/>
  <c r="O52" i="1"/>
  <c r="P51" i="1"/>
  <c r="Q51" i="1" s="1"/>
  <c r="U51" i="1"/>
  <c r="C17" i="3" l="1"/>
  <c r="C15" i="3"/>
  <c r="N3" i="2"/>
  <c r="G6" i="4"/>
  <c r="B18" i="3"/>
  <c r="C18" i="3" s="1"/>
  <c r="N12" i="2" s="1"/>
  <c r="O53" i="1"/>
  <c r="U52" i="1"/>
  <c r="P52" i="1"/>
  <c r="Q52" i="1" s="1"/>
  <c r="J23" i="1"/>
  <c r="I6" i="4" l="1"/>
  <c r="D14" i="4" s="1"/>
  <c r="F14" i="4" s="1"/>
  <c r="B13" i="4"/>
  <c r="D13" i="4" s="1"/>
  <c r="F13" i="4" s="1"/>
  <c r="O54" i="1"/>
  <c r="P53" i="1"/>
  <c r="Q53" i="1" s="1"/>
  <c r="U53" i="1"/>
  <c r="B24" i="2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B15" i="2" s="1"/>
  <c r="C6" i="2"/>
  <c r="C8" i="2" s="1"/>
  <c r="O55" i="1" l="1"/>
  <c r="P54" i="1"/>
  <c r="Q54" i="1" s="1"/>
  <c r="U54" i="1"/>
  <c r="C7" i="2"/>
  <c r="D15" i="2"/>
  <c r="D14" i="2"/>
  <c r="B47" i="1"/>
  <c r="B48" i="1" s="1"/>
  <c r="B43" i="1"/>
  <c r="B29" i="1" l="1"/>
  <c r="F21" i="4"/>
  <c r="O56" i="1"/>
  <c r="U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O57" i="1" l="1"/>
  <c r="P56" i="1"/>
  <c r="Q56" i="1" s="1"/>
  <c r="U56" i="1"/>
  <c r="F29" i="2"/>
  <c r="F30" i="2" s="1"/>
  <c r="P11" i="1" s="1"/>
  <c r="T116" i="1" s="1"/>
  <c r="F47" i="1"/>
  <c r="U13" i="1"/>
  <c r="B51" i="1" s="1"/>
  <c r="B49" i="1"/>
  <c r="B55" i="1" s="1"/>
  <c r="B44" i="1"/>
  <c r="B45" i="1" s="1"/>
  <c r="B54" i="1" s="1"/>
  <c r="S112" i="1"/>
  <c r="S113" i="1"/>
  <c r="S114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O58" i="1" l="1"/>
  <c r="U57" i="1"/>
  <c r="P57" i="1"/>
  <c r="Q57" i="1" s="1"/>
  <c r="T110" i="1"/>
  <c r="T109" i="1"/>
  <c r="T108" i="1"/>
  <c r="T106" i="1"/>
  <c r="T105" i="1"/>
  <c r="T100" i="1"/>
  <c r="T111" i="1"/>
  <c r="T107" i="1"/>
  <c r="T103" i="1"/>
  <c r="T114" i="1"/>
  <c r="T113" i="1"/>
  <c r="T119" i="1"/>
  <c r="T127" i="1"/>
  <c r="T104" i="1"/>
  <c r="T102" i="1"/>
  <c r="T101" i="1"/>
  <c r="T112" i="1"/>
  <c r="T134" i="1"/>
  <c r="T123" i="1"/>
  <c r="T129" i="1"/>
  <c r="T117" i="1"/>
  <c r="T132" i="1"/>
  <c r="T115" i="1"/>
  <c r="T120" i="1"/>
  <c r="T124" i="1"/>
  <c r="T128" i="1"/>
  <c r="T133" i="1"/>
  <c r="T118" i="1"/>
  <c r="T121" i="1"/>
  <c r="T122" i="1"/>
  <c r="T125" i="1"/>
  <c r="T130" i="1"/>
  <c r="T126" i="1"/>
  <c r="T131" i="1"/>
  <c r="Y8" i="1"/>
  <c r="O59" i="1" l="1"/>
  <c r="P58" i="1"/>
  <c r="Q58" i="1" s="1"/>
  <c r="U58" i="1"/>
  <c r="E9" i="1"/>
  <c r="B30" i="1"/>
  <c r="O60" i="1" l="1"/>
  <c r="P59" i="1"/>
  <c r="Q59" i="1" s="1"/>
  <c r="U59" i="1"/>
  <c r="B57" i="1"/>
  <c r="B38" i="1"/>
  <c r="U16" i="1"/>
  <c r="O61" i="1" l="1"/>
  <c r="U60" i="1"/>
  <c r="P60" i="1"/>
  <c r="Q60" i="1" s="1"/>
  <c r="Z74" i="1"/>
  <c r="O62" i="1" l="1"/>
  <c r="P61" i="1"/>
  <c r="Q61" i="1" s="1"/>
  <c r="U61" i="1"/>
  <c r="L22" i="1"/>
  <c r="B59" i="1" l="1"/>
  <c r="O63" i="1"/>
  <c r="P62" i="1"/>
  <c r="Q62" i="1" s="1"/>
  <c r="U62" i="1"/>
  <c r="W74" i="1"/>
  <c r="O64" i="1" l="1"/>
  <c r="U63" i="1"/>
  <c r="P63" i="1"/>
  <c r="Q63" i="1" s="1"/>
  <c r="S90" i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74" i="1"/>
  <c r="Q74" i="1"/>
  <c r="O65" i="1" l="1"/>
  <c r="P64" i="1"/>
  <c r="Q64" i="1" s="1"/>
  <c r="U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R74" i="1"/>
  <c r="U74" i="1" s="1"/>
  <c r="P16" i="1"/>
  <c r="U17" i="1"/>
  <c r="O66" i="1" l="1"/>
  <c r="U65" i="1"/>
  <c r="P65" i="1"/>
  <c r="Q65" i="1" s="1"/>
  <c r="P17" i="1"/>
  <c r="Q16" i="1"/>
  <c r="T74" i="1"/>
  <c r="O67" i="1" l="1"/>
  <c r="O68" i="1" s="1"/>
  <c r="U66" i="1"/>
  <c r="P66" i="1"/>
  <c r="Q66" i="1" s="1"/>
  <c r="P18" i="1"/>
  <c r="Q18" i="1" s="1"/>
  <c r="U18" i="1"/>
  <c r="Q17" i="1"/>
  <c r="U19" i="1"/>
  <c r="U20" i="1" l="1"/>
  <c r="P19" i="1"/>
  <c r="Q19" i="1" l="1"/>
  <c r="U21" i="1"/>
  <c r="P20" i="1"/>
  <c r="Q20" i="1" l="1"/>
  <c r="U22" i="1"/>
  <c r="P21" i="1"/>
  <c r="Q21" i="1" l="1"/>
  <c r="U23" i="1"/>
  <c r="P22" i="1"/>
  <c r="Q22" i="1" l="1"/>
  <c r="U24" i="1"/>
  <c r="P23" i="1"/>
  <c r="U25" i="1" l="1"/>
  <c r="P24" i="1"/>
  <c r="Q23" i="1"/>
  <c r="Q24" i="1" l="1"/>
  <c r="U26" i="1"/>
  <c r="P25" i="1"/>
  <c r="Q25" i="1" l="1"/>
  <c r="U27" i="1"/>
  <c r="P26" i="1"/>
  <c r="Q26" i="1" l="1"/>
  <c r="U28" i="1"/>
  <c r="P27" i="1"/>
  <c r="Q27" i="1" l="1"/>
  <c r="U29" i="1"/>
  <c r="P28" i="1"/>
  <c r="Q28" i="1" l="1"/>
  <c r="U30" i="1"/>
  <c r="P29" i="1"/>
  <c r="Q29" i="1" l="1"/>
  <c r="U31" i="1"/>
  <c r="P30" i="1"/>
  <c r="Q30" i="1" l="1"/>
  <c r="U32" i="1"/>
  <c r="P31" i="1"/>
  <c r="Q31" i="1" l="1"/>
  <c r="U33" i="1"/>
  <c r="P32" i="1"/>
  <c r="Q32" i="1" l="1"/>
  <c r="U34" i="1"/>
  <c r="P33" i="1"/>
  <c r="Q33" i="1" l="1"/>
  <c r="U35" i="1"/>
  <c r="P34" i="1"/>
  <c r="Q34" i="1" l="1"/>
  <c r="P35" i="1"/>
  <c r="Q35" i="1" l="1"/>
  <c r="U67" i="1" l="1"/>
  <c r="U68" i="1" l="1"/>
  <c r="P67" i="1"/>
  <c r="Q67" i="1" l="1"/>
  <c r="P68" i="1"/>
  <c r="Q68" i="1" l="1"/>
  <c r="U8" i="1" l="1"/>
  <c r="U9" i="1" s="1"/>
  <c r="V74" i="1"/>
  <c r="X74" i="1" s="1"/>
  <c r="P75" i="1" s="1"/>
  <c r="W45" i="1" l="1"/>
  <c r="W49" i="1"/>
  <c r="W53" i="1"/>
  <c r="W57" i="1"/>
  <c r="W61" i="1"/>
  <c r="W63" i="1"/>
  <c r="W65" i="1"/>
  <c r="W66" i="1"/>
  <c r="W43" i="1"/>
  <c r="W47" i="1"/>
  <c r="W51" i="1"/>
  <c r="W55" i="1"/>
  <c r="W59" i="1"/>
  <c r="W64" i="1"/>
  <c r="W62" i="1"/>
  <c r="W60" i="1"/>
  <c r="W58" i="1"/>
  <c r="W56" i="1"/>
  <c r="W54" i="1"/>
  <c r="W52" i="1"/>
  <c r="W50" i="1"/>
  <c r="W48" i="1"/>
  <c r="W46" i="1"/>
  <c r="W44" i="1"/>
  <c r="W40" i="1"/>
  <c r="W36" i="1"/>
  <c r="W42" i="1"/>
  <c r="W38" i="1"/>
  <c r="W37" i="1"/>
  <c r="W41" i="1"/>
  <c r="W39" i="1"/>
  <c r="AA75" i="1"/>
  <c r="Z75" i="1"/>
  <c r="Y74" i="1"/>
  <c r="U10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67" i="1"/>
  <c r="W68" i="1"/>
  <c r="AC44" i="1" l="1"/>
  <c r="AD44" i="1" s="1"/>
  <c r="AB44" i="1"/>
  <c r="R44" i="1"/>
  <c r="S44" i="1" s="1"/>
  <c r="T44" i="1" s="1"/>
  <c r="V44" i="1" s="1"/>
  <c r="AA44" i="1" s="1"/>
  <c r="AC48" i="1"/>
  <c r="AD48" i="1" s="1"/>
  <c r="AB48" i="1"/>
  <c r="R48" i="1"/>
  <c r="S48" i="1" s="1"/>
  <c r="T48" i="1" s="1"/>
  <c r="V48" i="1" s="1"/>
  <c r="AA48" i="1" s="1"/>
  <c r="AC52" i="1"/>
  <c r="AD52" i="1" s="1"/>
  <c r="AB52" i="1"/>
  <c r="R52" i="1"/>
  <c r="S52" i="1" s="1"/>
  <c r="T52" i="1" s="1"/>
  <c r="V52" i="1" s="1"/>
  <c r="AA52" i="1" s="1"/>
  <c r="AC56" i="1"/>
  <c r="AD56" i="1" s="1"/>
  <c r="AB56" i="1"/>
  <c r="R56" i="1"/>
  <c r="S56" i="1" s="1"/>
  <c r="T56" i="1" s="1"/>
  <c r="V56" i="1" s="1"/>
  <c r="AA56" i="1" s="1"/>
  <c r="AC60" i="1"/>
  <c r="AD60" i="1" s="1"/>
  <c r="AB60" i="1"/>
  <c r="R60" i="1"/>
  <c r="S60" i="1" s="1"/>
  <c r="T60" i="1" s="1"/>
  <c r="V60" i="1" s="1"/>
  <c r="AA60" i="1" s="1"/>
  <c r="AC64" i="1"/>
  <c r="AD64" i="1" s="1"/>
  <c r="AB64" i="1"/>
  <c r="R64" i="1"/>
  <c r="S64" i="1" s="1"/>
  <c r="AC55" i="1"/>
  <c r="AD55" i="1" s="1"/>
  <c r="R55" i="1"/>
  <c r="S55" i="1" s="1"/>
  <c r="AB55" i="1"/>
  <c r="AC47" i="1"/>
  <c r="AD47" i="1" s="1"/>
  <c r="R47" i="1"/>
  <c r="S47" i="1" s="1"/>
  <c r="AB47" i="1"/>
  <c r="R66" i="1"/>
  <c r="S66" i="1" s="1"/>
  <c r="AC66" i="1"/>
  <c r="AD66" i="1" s="1"/>
  <c r="AB66" i="1"/>
  <c r="AC63" i="1"/>
  <c r="AD63" i="1" s="1"/>
  <c r="AB63" i="1"/>
  <c r="R63" i="1"/>
  <c r="S63" i="1" s="1"/>
  <c r="R57" i="1"/>
  <c r="S57" i="1" s="1"/>
  <c r="T57" i="1" s="1"/>
  <c r="V57" i="1" s="1"/>
  <c r="AA57" i="1" s="1"/>
  <c r="AC57" i="1"/>
  <c r="AD57" i="1" s="1"/>
  <c r="AB57" i="1"/>
  <c r="AC49" i="1"/>
  <c r="AD49" i="1" s="1"/>
  <c r="R49" i="1"/>
  <c r="AB49" i="1"/>
  <c r="Z43" i="1"/>
  <c r="Z44" i="1"/>
  <c r="Z47" i="1"/>
  <c r="Z48" i="1"/>
  <c r="Z51" i="1"/>
  <c r="Z52" i="1"/>
  <c r="Z55" i="1"/>
  <c r="Z56" i="1"/>
  <c r="Z59" i="1"/>
  <c r="Z60" i="1"/>
  <c r="Z62" i="1"/>
  <c r="Z64" i="1"/>
  <c r="Z45" i="1"/>
  <c r="Z46" i="1"/>
  <c r="Z49" i="1"/>
  <c r="Z50" i="1"/>
  <c r="Z53" i="1"/>
  <c r="Z54" i="1"/>
  <c r="Z57" i="1"/>
  <c r="Z58" i="1"/>
  <c r="Z61" i="1"/>
  <c r="Z63" i="1"/>
  <c r="Z65" i="1"/>
  <c r="Z66" i="1"/>
  <c r="AC46" i="1"/>
  <c r="AD46" i="1" s="1"/>
  <c r="AB46" i="1"/>
  <c r="R46" i="1"/>
  <c r="S46" i="1" s="1"/>
  <c r="T46" i="1" s="1"/>
  <c r="V46" i="1" s="1"/>
  <c r="AA46" i="1" s="1"/>
  <c r="AC50" i="1"/>
  <c r="AD50" i="1" s="1"/>
  <c r="AB50" i="1"/>
  <c r="R50" i="1"/>
  <c r="S50" i="1" s="1"/>
  <c r="X50" i="1" s="1"/>
  <c r="Y50" i="1" s="1"/>
  <c r="R54" i="1"/>
  <c r="S54" i="1" s="1"/>
  <c r="T54" i="1" s="1"/>
  <c r="V54" i="1" s="1"/>
  <c r="AA54" i="1" s="1"/>
  <c r="AC54" i="1"/>
  <c r="AD54" i="1" s="1"/>
  <c r="AB54" i="1"/>
  <c r="R58" i="1"/>
  <c r="S58" i="1" s="1"/>
  <c r="T58" i="1" s="1"/>
  <c r="V58" i="1" s="1"/>
  <c r="AA58" i="1" s="1"/>
  <c r="AB58" i="1"/>
  <c r="AC58" i="1"/>
  <c r="AD58" i="1" s="1"/>
  <c r="AC62" i="1"/>
  <c r="AD62" i="1" s="1"/>
  <c r="R62" i="1"/>
  <c r="S62" i="1" s="1"/>
  <c r="T62" i="1" s="1"/>
  <c r="V62" i="1" s="1"/>
  <c r="AA62" i="1" s="1"/>
  <c r="AB62" i="1"/>
  <c r="AC59" i="1"/>
  <c r="AD59" i="1" s="1"/>
  <c r="R59" i="1"/>
  <c r="S59" i="1" s="1"/>
  <c r="AB59" i="1"/>
  <c r="AC51" i="1"/>
  <c r="AD51" i="1" s="1"/>
  <c r="AB51" i="1"/>
  <c r="R51" i="1"/>
  <c r="AC43" i="1"/>
  <c r="AD43" i="1" s="1"/>
  <c r="R43" i="1"/>
  <c r="S43" i="1" s="1"/>
  <c r="AB43" i="1"/>
  <c r="AB65" i="1"/>
  <c r="AC65" i="1"/>
  <c r="AD65" i="1" s="1"/>
  <c r="R65" i="1"/>
  <c r="S65" i="1" s="1"/>
  <c r="T65" i="1" s="1"/>
  <c r="V65" i="1" s="1"/>
  <c r="AA65" i="1" s="1"/>
  <c r="AC61" i="1"/>
  <c r="AD61" i="1" s="1"/>
  <c r="R61" i="1"/>
  <c r="S61" i="1" s="1"/>
  <c r="AB61" i="1"/>
  <c r="AC53" i="1"/>
  <c r="AD53" i="1" s="1"/>
  <c r="R53" i="1"/>
  <c r="S53" i="1" s="1"/>
  <c r="T53" i="1" s="1"/>
  <c r="V53" i="1" s="1"/>
  <c r="AA53" i="1" s="1"/>
  <c r="AB53" i="1"/>
  <c r="AC45" i="1"/>
  <c r="AD45" i="1" s="1"/>
  <c r="R45" i="1"/>
  <c r="S45" i="1" s="1"/>
  <c r="T45" i="1" s="1"/>
  <c r="V45" i="1" s="1"/>
  <c r="AA45" i="1" s="1"/>
  <c r="AB45" i="1"/>
  <c r="AC41" i="1"/>
  <c r="AD41" i="1" s="1"/>
  <c r="AB41" i="1"/>
  <c r="R41" i="1"/>
  <c r="S41" i="1" s="1"/>
  <c r="AC36" i="1"/>
  <c r="AD36" i="1" s="1"/>
  <c r="R36" i="1"/>
  <c r="S36" i="1" s="1"/>
  <c r="AB36" i="1"/>
  <c r="AC39" i="1"/>
  <c r="AD39" i="1" s="1"/>
  <c r="AB39" i="1"/>
  <c r="R39" i="1"/>
  <c r="S39" i="1" s="1"/>
  <c r="T39" i="1" s="1"/>
  <c r="V39" i="1" s="1"/>
  <c r="AA39" i="1" s="1"/>
  <c r="AC37" i="1"/>
  <c r="AD37" i="1" s="1"/>
  <c r="R37" i="1"/>
  <c r="S37" i="1" s="1"/>
  <c r="AB37" i="1"/>
  <c r="AC42" i="1"/>
  <c r="AD42" i="1" s="1"/>
  <c r="R42" i="1"/>
  <c r="S42" i="1" s="1"/>
  <c r="AB42" i="1"/>
  <c r="R40" i="1"/>
  <c r="S40" i="1" s="1"/>
  <c r="AB40" i="1"/>
  <c r="AC40" i="1"/>
  <c r="AD40" i="1" s="1"/>
  <c r="Z40" i="1"/>
  <c r="Z39" i="1"/>
  <c r="Z36" i="1"/>
  <c r="Z42" i="1"/>
  <c r="Z41" i="1"/>
  <c r="Z38" i="1"/>
  <c r="Z37" i="1"/>
  <c r="AB38" i="1"/>
  <c r="AC38" i="1"/>
  <c r="AD38" i="1" s="1"/>
  <c r="R38" i="1"/>
  <c r="S38" i="1" s="1"/>
  <c r="AB19" i="1"/>
  <c r="AC19" i="1"/>
  <c r="AD19" i="1" s="1"/>
  <c r="R19" i="1"/>
  <c r="S19" i="1" s="1"/>
  <c r="T19" i="1" s="1"/>
  <c r="V19" i="1" s="1"/>
  <c r="AA19" i="1" s="1"/>
  <c r="AC26" i="1"/>
  <c r="AD26" i="1" s="1"/>
  <c r="R26" i="1"/>
  <c r="S26" i="1" s="1"/>
  <c r="AB26" i="1"/>
  <c r="R18" i="1"/>
  <c r="S18" i="1" s="1"/>
  <c r="T18" i="1" s="1"/>
  <c r="V18" i="1" s="1"/>
  <c r="AA18" i="1" s="1"/>
  <c r="AC18" i="1"/>
  <c r="AD18" i="1" s="1"/>
  <c r="AB18" i="1"/>
  <c r="AC27" i="1"/>
  <c r="AD27" i="1" s="1"/>
  <c r="R27" i="1"/>
  <c r="S27" i="1" s="1"/>
  <c r="AB27" i="1"/>
  <c r="R16" i="1"/>
  <c r="S16" i="1" s="1"/>
  <c r="T16" i="1" s="1"/>
  <c r="V16" i="1" s="1"/>
  <c r="AA16" i="1" s="1"/>
  <c r="AC16" i="1"/>
  <c r="AD16" i="1" s="1"/>
  <c r="AB16" i="1"/>
  <c r="X16" i="1"/>
  <c r="Y16" i="1" s="1"/>
  <c r="R35" i="1"/>
  <c r="S35" i="1" s="1"/>
  <c r="AB35" i="1"/>
  <c r="AC35" i="1"/>
  <c r="AD35" i="1" s="1"/>
  <c r="AC68" i="1"/>
  <c r="AD68" i="1" s="1"/>
  <c r="R68" i="1"/>
  <c r="S68" i="1" s="1"/>
  <c r="AB68" i="1"/>
  <c r="AC25" i="1"/>
  <c r="AD25" i="1" s="1"/>
  <c r="AB25" i="1"/>
  <c r="R25" i="1"/>
  <c r="S25" i="1" s="1"/>
  <c r="AC24" i="1"/>
  <c r="AD24" i="1" s="1"/>
  <c r="R24" i="1"/>
  <c r="S24" i="1" s="1"/>
  <c r="AB24" i="1"/>
  <c r="AC23" i="1"/>
  <c r="AD23" i="1" s="1"/>
  <c r="R23" i="1"/>
  <c r="S23" i="1" s="1"/>
  <c r="AB23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67" i="1"/>
  <c r="Z68" i="1"/>
  <c r="AC67" i="1"/>
  <c r="AD67" i="1" s="1"/>
  <c r="R67" i="1"/>
  <c r="S67" i="1" s="1"/>
  <c r="AB67" i="1"/>
  <c r="AC17" i="1"/>
  <c r="AD17" i="1" s="1"/>
  <c r="AB17" i="1"/>
  <c r="R17" i="1"/>
  <c r="S17" i="1" s="1"/>
  <c r="AC32" i="1"/>
  <c r="AD32" i="1" s="1"/>
  <c r="R32" i="1"/>
  <c r="S32" i="1" s="1"/>
  <c r="AB32" i="1"/>
  <c r="AC31" i="1"/>
  <c r="AD31" i="1" s="1"/>
  <c r="AB31" i="1"/>
  <c r="R31" i="1"/>
  <c r="S31" i="1" s="1"/>
  <c r="R30" i="1"/>
  <c r="S30" i="1" s="1"/>
  <c r="T30" i="1" s="1"/>
  <c r="V30" i="1" s="1"/>
  <c r="AA30" i="1" s="1"/>
  <c r="AB30" i="1"/>
  <c r="AC30" i="1"/>
  <c r="AD30" i="1" s="1"/>
  <c r="AC22" i="1"/>
  <c r="AD22" i="1" s="1"/>
  <c r="R22" i="1"/>
  <c r="S22" i="1" s="1"/>
  <c r="AB22" i="1"/>
  <c r="AC34" i="1"/>
  <c r="AD34" i="1" s="1"/>
  <c r="R34" i="1"/>
  <c r="S34" i="1" s="1"/>
  <c r="AB34" i="1"/>
  <c r="AC33" i="1"/>
  <c r="AD33" i="1" s="1"/>
  <c r="R33" i="1"/>
  <c r="S33" i="1" s="1"/>
  <c r="AB33" i="1"/>
  <c r="R29" i="1"/>
  <c r="S29" i="1" s="1"/>
  <c r="AB29" i="1"/>
  <c r="AC29" i="1"/>
  <c r="AD29" i="1" s="1"/>
  <c r="AC21" i="1"/>
  <c r="AD21" i="1" s="1"/>
  <c r="R21" i="1"/>
  <c r="S21" i="1" s="1"/>
  <c r="AB21" i="1"/>
  <c r="R28" i="1"/>
  <c r="S28" i="1" s="1"/>
  <c r="AB28" i="1"/>
  <c r="AC28" i="1"/>
  <c r="AD28" i="1" s="1"/>
  <c r="AC20" i="1"/>
  <c r="AD20" i="1" s="1"/>
  <c r="R20" i="1"/>
  <c r="S20" i="1" s="1"/>
  <c r="AB20" i="1"/>
  <c r="W75" i="1"/>
  <c r="Q75" i="1"/>
  <c r="X48" i="1" l="1"/>
  <c r="Y48" i="1" s="1"/>
  <c r="X52" i="1"/>
  <c r="Y52" i="1" s="1"/>
  <c r="X54" i="1"/>
  <c r="Y54" i="1" s="1"/>
  <c r="X45" i="1"/>
  <c r="Y45" i="1" s="1"/>
  <c r="X62" i="1"/>
  <c r="Y62" i="1" s="1"/>
  <c r="X56" i="1"/>
  <c r="Y56" i="1" s="1"/>
  <c r="X61" i="1"/>
  <c r="Y61" i="1" s="1"/>
  <c r="X53" i="1"/>
  <c r="Y53" i="1" s="1"/>
  <c r="X46" i="1"/>
  <c r="Y46" i="1" s="1"/>
  <c r="X44" i="1"/>
  <c r="Y44" i="1" s="1"/>
  <c r="T59" i="1"/>
  <c r="V59" i="1" s="1"/>
  <c r="AA59" i="1" s="1"/>
  <c r="T63" i="1"/>
  <c r="V63" i="1" s="1"/>
  <c r="AA63" i="1" s="1"/>
  <c r="X66" i="1"/>
  <c r="Y66" i="1" s="1"/>
  <c r="T66" i="1"/>
  <c r="V66" i="1" s="1"/>
  <c r="AA66" i="1" s="1"/>
  <c r="T43" i="1"/>
  <c r="V43" i="1" s="1"/>
  <c r="AA43" i="1" s="1"/>
  <c r="X43" i="1"/>
  <c r="Y43" i="1" s="1"/>
  <c r="X59" i="1"/>
  <c r="Y59" i="1" s="1"/>
  <c r="X58" i="1"/>
  <c r="Y58" i="1" s="1"/>
  <c r="T50" i="1"/>
  <c r="V50" i="1" s="1"/>
  <c r="AA50" i="1" s="1"/>
  <c r="S49" i="1"/>
  <c r="T49" i="1" s="1"/>
  <c r="V49" i="1" s="1"/>
  <c r="AA49" i="1" s="1"/>
  <c r="X57" i="1"/>
  <c r="Y57" i="1" s="1"/>
  <c r="X47" i="1"/>
  <c r="Y47" i="1" s="1"/>
  <c r="X55" i="1"/>
  <c r="Y55" i="1" s="1"/>
  <c r="X64" i="1"/>
  <c r="Y64" i="1" s="1"/>
  <c r="X60" i="1"/>
  <c r="Y60" i="1" s="1"/>
  <c r="T61" i="1"/>
  <c r="V61" i="1" s="1"/>
  <c r="AA61" i="1" s="1"/>
  <c r="X65" i="1"/>
  <c r="Y65" i="1" s="1"/>
  <c r="S51" i="1"/>
  <c r="T51" i="1" s="1"/>
  <c r="V51" i="1" s="1"/>
  <c r="AA51" i="1" s="1"/>
  <c r="X63" i="1"/>
  <c r="Y63" i="1" s="1"/>
  <c r="T47" i="1"/>
  <c r="V47" i="1" s="1"/>
  <c r="AA47" i="1" s="1"/>
  <c r="T55" i="1"/>
  <c r="V55" i="1" s="1"/>
  <c r="AA55" i="1" s="1"/>
  <c r="T64" i="1"/>
  <c r="V64" i="1" s="1"/>
  <c r="AA64" i="1" s="1"/>
  <c r="X41" i="1"/>
  <c r="Y41" i="1" s="1"/>
  <c r="X39" i="1"/>
  <c r="Y39" i="1" s="1"/>
  <c r="T38" i="1"/>
  <c r="V38" i="1" s="1"/>
  <c r="AA38" i="1" s="1"/>
  <c r="X38" i="1"/>
  <c r="Y38" i="1" s="1"/>
  <c r="X40" i="1"/>
  <c r="Y40" i="1" s="1"/>
  <c r="X42" i="1"/>
  <c r="Y42" i="1" s="1"/>
  <c r="X37" i="1"/>
  <c r="Y37" i="1" s="1"/>
  <c r="X36" i="1"/>
  <c r="Y36" i="1" s="1"/>
  <c r="T40" i="1"/>
  <c r="V40" i="1" s="1"/>
  <c r="AA40" i="1" s="1"/>
  <c r="T42" i="1"/>
  <c r="V42" i="1" s="1"/>
  <c r="AA42" i="1" s="1"/>
  <c r="T37" i="1"/>
  <c r="V37" i="1" s="1"/>
  <c r="AA37" i="1" s="1"/>
  <c r="T36" i="1"/>
  <c r="V36" i="1" s="1"/>
  <c r="AA36" i="1" s="1"/>
  <c r="T41" i="1"/>
  <c r="V41" i="1" s="1"/>
  <c r="AA41" i="1" s="1"/>
  <c r="T17" i="1"/>
  <c r="V17" i="1" s="1"/>
  <c r="AA17" i="1" s="1"/>
  <c r="X17" i="1"/>
  <c r="Y17" i="1" s="1"/>
  <c r="X18" i="1"/>
  <c r="Y18" i="1" s="1"/>
  <c r="X19" i="1"/>
  <c r="Y19" i="1" s="1"/>
  <c r="X30" i="1"/>
  <c r="Y30" i="1" s="1"/>
  <c r="X28" i="1"/>
  <c r="Y28" i="1" s="1"/>
  <c r="T28" i="1"/>
  <c r="V28" i="1" s="1"/>
  <c r="AA28" i="1" s="1"/>
  <c r="X26" i="1"/>
  <c r="Y26" i="1" s="1"/>
  <c r="T26" i="1"/>
  <c r="V26" i="1" s="1"/>
  <c r="AA26" i="1" s="1"/>
  <c r="X33" i="1"/>
  <c r="Y33" i="1" s="1"/>
  <c r="T33" i="1"/>
  <c r="V33" i="1" s="1"/>
  <c r="AA33" i="1" s="1"/>
  <c r="X68" i="1"/>
  <c r="Y68" i="1" s="1"/>
  <c r="T68" i="1"/>
  <c r="V68" i="1" s="1"/>
  <c r="AA68" i="1" s="1"/>
  <c r="R75" i="1"/>
  <c r="U75" i="1" s="1"/>
  <c r="V75" i="1" s="1"/>
  <c r="X75" i="1" s="1"/>
  <c r="P76" i="1" s="1"/>
  <c r="Z76" i="1" s="1"/>
  <c r="Y75" i="1"/>
  <c r="X27" i="1"/>
  <c r="Y27" i="1" s="1"/>
  <c r="T27" i="1"/>
  <c r="V27" i="1" s="1"/>
  <c r="AA27" i="1" s="1"/>
  <c r="X34" i="1"/>
  <c r="Y34" i="1" s="1"/>
  <c r="T34" i="1"/>
  <c r="V34" i="1" s="1"/>
  <c r="AA34" i="1" s="1"/>
  <c r="X23" i="1"/>
  <c r="Y23" i="1" s="1"/>
  <c r="T23" i="1"/>
  <c r="V23" i="1" s="1"/>
  <c r="AA23" i="1" s="1"/>
  <c r="X25" i="1"/>
  <c r="Y25" i="1" s="1"/>
  <c r="T25" i="1"/>
  <c r="V25" i="1" s="1"/>
  <c r="AA25" i="1" s="1"/>
  <c r="X35" i="1"/>
  <c r="Y35" i="1" s="1"/>
  <c r="T35" i="1"/>
  <c r="V35" i="1" s="1"/>
  <c r="AA35" i="1" s="1"/>
  <c r="X29" i="1"/>
  <c r="Y29" i="1" s="1"/>
  <c r="T29" i="1"/>
  <c r="V29" i="1" s="1"/>
  <c r="AA29" i="1" s="1"/>
  <c r="X20" i="1"/>
  <c r="Y20" i="1" s="1"/>
  <c r="T20" i="1"/>
  <c r="V20" i="1" s="1"/>
  <c r="AA20" i="1" s="1"/>
  <c r="X22" i="1"/>
  <c r="Y22" i="1" s="1"/>
  <c r="T22" i="1"/>
  <c r="V22" i="1" s="1"/>
  <c r="AA22" i="1" s="1"/>
  <c r="X32" i="1"/>
  <c r="Y32" i="1" s="1"/>
  <c r="T32" i="1"/>
  <c r="V32" i="1" s="1"/>
  <c r="AA32" i="1" s="1"/>
  <c r="X67" i="1"/>
  <c r="Y67" i="1" s="1"/>
  <c r="T67" i="1"/>
  <c r="V67" i="1" s="1"/>
  <c r="AA67" i="1" s="1"/>
  <c r="X21" i="1"/>
  <c r="Y21" i="1" s="1"/>
  <c r="T21" i="1"/>
  <c r="V21" i="1" s="1"/>
  <c r="AA21" i="1" s="1"/>
  <c r="X31" i="1"/>
  <c r="Y31" i="1" s="1"/>
  <c r="T31" i="1"/>
  <c r="V31" i="1" s="1"/>
  <c r="AA31" i="1" s="1"/>
  <c r="X24" i="1"/>
  <c r="Y24" i="1" s="1"/>
  <c r="T24" i="1"/>
  <c r="V24" i="1" s="1"/>
  <c r="AA24" i="1" s="1"/>
  <c r="X51" i="1" l="1"/>
  <c r="Y51" i="1" s="1"/>
  <c r="X49" i="1"/>
  <c r="Y49" i="1" s="1"/>
  <c r="AA76" i="1"/>
  <c r="W76" i="1" l="1"/>
  <c r="Q76" i="1"/>
  <c r="Y76" i="1" l="1"/>
  <c r="R76" i="1"/>
  <c r="U76" i="1" s="1"/>
  <c r="V76" i="1" s="1"/>
  <c r="X76" i="1" s="1"/>
  <c r="P77" i="1" s="1"/>
  <c r="Z77" i="1" s="1"/>
  <c r="AA77" i="1" l="1"/>
  <c r="W77" i="1" l="1"/>
  <c r="Q77" i="1"/>
  <c r="Y77" i="1" l="1"/>
  <c r="R77" i="1"/>
  <c r="U77" i="1" s="1"/>
  <c r="V77" i="1" s="1"/>
  <c r="X77" i="1" s="1"/>
  <c r="P78" i="1" s="1"/>
  <c r="Z78" i="1" s="1"/>
  <c r="AA78" i="1" l="1"/>
  <c r="W78" i="1" l="1"/>
  <c r="Q78" i="1"/>
  <c r="Y78" i="1" l="1"/>
  <c r="R78" i="1"/>
  <c r="U78" i="1" l="1"/>
  <c r="V78" i="1" s="1"/>
  <c r="X78" i="1" s="1"/>
  <c r="P79" i="1" s="1"/>
  <c r="Z79" i="1" s="1"/>
  <c r="AA79" i="1" l="1"/>
  <c r="W79" i="1" l="1"/>
  <c r="Q79" i="1"/>
  <c r="Y79" i="1" l="1"/>
  <c r="R79" i="1"/>
  <c r="U79" i="1" s="1"/>
  <c r="V79" i="1" s="1"/>
  <c r="X79" i="1" s="1"/>
  <c r="P80" i="1" s="1"/>
  <c r="Z80" i="1" s="1"/>
  <c r="AA80" i="1" l="1"/>
  <c r="W80" i="1" l="1"/>
  <c r="Q80" i="1"/>
  <c r="R80" i="1" l="1"/>
  <c r="U80" i="1" s="1"/>
  <c r="V80" i="1" s="1"/>
  <c r="X80" i="1" s="1"/>
  <c r="P81" i="1" s="1"/>
  <c r="Z81" i="1" s="1"/>
  <c r="Y80" i="1"/>
  <c r="AA81" i="1" l="1"/>
  <c r="W81" i="1" l="1"/>
  <c r="Q81" i="1"/>
  <c r="R81" i="1" l="1"/>
  <c r="U81" i="1" s="1"/>
  <c r="V81" i="1" s="1"/>
  <c r="X81" i="1" s="1"/>
  <c r="P82" i="1" s="1"/>
  <c r="Z82" i="1" s="1"/>
  <c r="Y81" i="1"/>
  <c r="AA82" i="1" l="1"/>
  <c r="W82" i="1" l="1"/>
  <c r="Q82" i="1"/>
  <c r="Y82" i="1" l="1"/>
  <c r="R82" i="1"/>
  <c r="U82" i="1" s="1"/>
  <c r="V82" i="1" s="1"/>
  <c r="X82" i="1" s="1"/>
  <c r="P83" i="1" s="1"/>
  <c r="Z83" i="1" s="1"/>
  <c r="AA83" i="1" l="1"/>
  <c r="W83" i="1" l="1"/>
  <c r="Q83" i="1"/>
  <c r="Y83" i="1" l="1"/>
  <c r="R83" i="1"/>
  <c r="U83" i="1" s="1"/>
  <c r="V83" i="1" s="1"/>
  <c r="X83" i="1" s="1"/>
  <c r="P84" i="1" s="1"/>
  <c r="Z84" i="1" s="1"/>
  <c r="AA84" i="1" l="1"/>
  <c r="W84" i="1" l="1"/>
  <c r="Q84" i="1"/>
  <c r="R84" i="1" l="1"/>
  <c r="U84" i="1" s="1"/>
  <c r="V84" i="1" s="1"/>
  <c r="X84" i="1" s="1"/>
  <c r="P85" i="1" s="1"/>
  <c r="Z85" i="1" s="1"/>
  <c r="Y84" i="1"/>
  <c r="AA85" i="1" l="1"/>
  <c r="W85" i="1" l="1"/>
  <c r="Q85" i="1"/>
  <c r="R85" i="1" l="1"/>
  <c r="U85" i="1" s="1"/>
  <c r="V85" i="1" s="1"/>
  <c r="X85" i="1" s="1"/>
  <c r="P86" i="1" s="1"/>
  <c r="Z86" i="1" s="1"/>
  <c r="Y85" i="1"/>
  <c r="AA86" i="1" l="1"/>
  <c r="W86" i="1" l="1"/>
  <c r="Q86" i="1"/>
  <c r="R86" i="1" l="1"/>
  <c r="U86" i="1" s="1"/>
  <c r="V86" i="1" s="1"/>
  <c r="X86" i="1" s="1"/>
  <c r="P87" i="1" s="1"/>
  <c r="Z87" i="1" s="1"/>
  <c r="Y86" i="1"/>
  <c r="AA87" i="1" l="1"/>
  <c r="W87" i="1" l="1"/>
  <c r="Q87" i="1"/>
  <c r="Y87" i="1" l="1"/>
  <c r="R87" i="1"/>
  <c r="U87" i="1" s="1"/>
  <c r="V87" i="1" s="1"/>
  <c r="X87" i="1" s="1"/>
  <c r="P88" i="1" s="1"/>
  <c r="Z88" i="1" s="1"/>
  <c r="AA88" i="1" l="1"/>
  <c r="W88" i="1" l="1"/>
  <c r="Q88" i="1"/>
  <c r="Y88" i="1" l="1"/>
  <c r="R88" i="1"/>
  <c r="U88" i="1" s="1"/>
  <c r="V88" i="1" s="1"/>
  <c r="X88" i="1" s="1"/>
  <c r="P89" i="1" s="1"/>
  <c r="Z89" i="1" s="1"/>
  <c r="AA89" i="1" l="1"/>
  <c r="W89" i="1" l="1"/>
  <c r="Q89" i="1"/>
  <c r="R89" i="1" l="1"/>
  <c r="U89" i="1" s="1"/>
  <c r="V89" i="1" s="1"/>
  <c r="X89" i="1" s="1"/>
  <c r="P90" i="1" s="1"/>
  <c r="Z90" i="1" s="1"/>
  <c r="Y89" i="1"/>
  <c r="AA90" i="1" l="1"/>
  <c r="W90" i="1" l="1"/>
  <c r="Q90" i="1"/>
  <c r="R90" i="1" l="1"/>
  <c r="U90" i="1" s="1"/>
  <c r="V90" i="1" s="1"/>
  <c r="X90" i="1" s="1"/>
  <c r="P91" i="1" s="1"/>
  <c r="Z91" i="1" s="1"/>
  <c r="Y90" i="1"/>
  <c r="AA91" i="1" l="1"/>
  <c r="W91" i="1" l="1"/>
  <c r="Q91" i="1"/>
  <c r="Y91" i="1" l="1"/>
  <c r="R91" i="1"/>
  <c r="U91" i="1" s="1"/>
  <c r="V91" i="1" s="1"/>
  <c r="X91" i="1" s="1"/>
  <c r="P92" i="1" s="1"/>
  <c r="Z92" i="1" s="1"/>
  <c r="AA92" i="1" l="1"/>
  <c r="W92" i="1" l="1"/>
  <c r="Q92" i="1"/>
  <c r="R92" i="1" l="1"/>
  <c r="U92" i="1" s="1"/>
  <c r="V92" i="1" s="1"/>
  <c r="X92" i="1" s="1"/>
  <c r="P93" i="1" s="1"/>
  <c r="Z93" i="1" s="1"/>
  <c r="Y92" i="1"/>
  <c r="AA93" i="1" l="1"/>
  <c r="W93" i="1" l="1"/>
  <c r="Q93" i="1"/>
  <c r="Y93" i="1" l="1"/>
  <c r="R93" i="1"/>
  <c r="U93" i="1" s="1"/>
  <c r="V93" i="1" s="1"/>
  <c r="X93" i="1" s="1"/>
  <c r="P94" i="1" s="1"/>
  <c r="Z94" i="1" s="1"/>
  <c r="AA94" i="1" l="1"/>
  <c r="W94" i="1" l="1"/>
  <c r="Q94" i="1"/>
  <c r="Y94" i="1" l="1"/>
  <c r="R94" i="1"/>
  <c r="U94" i="1" s="1"/>
  <c r="V94" i="1" s="1"/>
  <c r="X94" i="1" s="1"/>
  <c r="P95" i="1" s="1"/>
  <c r="Z95" i="1" s="1"/>
  <c r="AA95" i="1" l="1"/>
  <c r="W95" i="1" l="1"/>
  <c r="Q95" i="1"/>
  <c r="R95" i="1" l="1"/>
  <c r="U95" i="1" s="1"/>
  <c r="V95" i="1" s="1"/>
  <c r="X95" i="1" s="1"/>
  <c r="P96" i="1" s="1"/>
  <c r="Z96" i="1" s="1"/>
  <c r="Y95" i="1"/>
  <c r="AA96" i="1" l="1"/>
  <c r="W96" i="1" l="1"/>
  <c r="Q96" i="1"/>
  <c r="R96" i="1" l="1"/>
  <c r="U96" i="1" s="1"/>
  <c r="V96" i="1" s="1"/>
  <c r="X96" i="1" s="1"/>
  <c r="P97" i="1" s="1"/>
  <c r="Z97" i="1" s="1"/>
  <c r="Y96" i="1"/>
  <c r="AA97" i="1" l="1"/>
  <c r="W97" i="1" l="1"/>
  <c r="Q97" i="1"/>
  <c r="Y97" i="1" l="1"/>
  <c r="R97" i="1"/>
  <c r="U97" i="1" s="1"/>
  <c r="V97" i="1" s="1"/>
  <c r="X97" i="1" s="1"/>
  <c r="P98" i="1" s="1"/>
  <c r="Z98" i="1" s="1"/>
  <c r="AA98" i="1" l="1"/>
  <c r="W98" i="1" l="1"/>
  <c r="Q98" i="1"/>
  <c r="R98" i="1" l="1"/>
  <c r="U98" i="1" s="1"/>
  <c r="V98" i="1" s="1"/>
  <c r="X98" i="1" s="1"/>
  <c r="P99" i="1" s="1"/>
  <c r="Y98" i="1"/>
  <c r="Z99" i="1" l="1"/>
  <c r="AA99" i="1"/>
  <c r="W99" i="1" l="1"/>
  <c r="Q99" i="1"/>
  <c r="R99" i="1" l="1"/>
  <c r="U99" i="1" s="1"/>
  <c r="V99" i="1" s="1"/>
  <c r="X99" i="1" s="1"/>
  <c r="P100" i="1" s="1"/>
  <c r="Y99" i="1"/>
  <c r="Z100" i="1" l="1"/>
  <c r="AA100" i="1"/>
  <c r="W100" i="1" l="1"/>
  <c r="Q100" i="1"/>
  <c r="R100" i="1" l="1"/>
  <c r="Y100" i="1"/>
  <c r="U100" i="1" l="1"/>
  <c r="V100" i="1" s="1"/>
  <c r="X100" i="1" s="1"/>
  <c r="P101" i="1" s="1"/>
  <c r="Z101" i="1" l="1"/>
  <c r="AA101" i="1"/>
  <c r="W101" i="1" l="1"/>
  <c r="Q101" i="1"/>
  <c r="Y101" i="1" l="1"/>
  <c r="R101" i="1"/>
  <c r="U101" i="1" l="1"/>
  <c r="V101" i="1" s="1"/>
  <c r="X101" i="1" s="1"/>
  <c r="P102" i="1" s="1"/>
  <c r="Z102" i="1" l="1"/>
  <c r="AA102" i="1"/>
  <c r="W102" i="1" l="1"/>
  <c r="Q102" i="1"/>
  <c r="Y102" i="1" l="1"/>
  <c r="R102" i="1"/>
  <c r="U102" i="1" l="1"/>
  <c r="V102" i="1" s="1"/>
  <c r="X102" i="1" s="1"/>
  <c r="P103" i="1" s="1"/>
  <c r="Z103" i="1" l="1"/>
  <c r="AA103" i="1"/>
  <c r="W103" i="1" l="1"/>
  <c r="Q103" i="1"/>
  <c r="Y103" i="1" l="1"/>
  <c r="R103" i="1"/>
  <c r="U103" i="1" l="1"/>
  <c r="V103" i="1" s="1"/>
  <c r="X103" i="1" s="1"/>
  <c r="P104" i="1" s="1"/>
  <c r="Z104" i="1" l="1"/>
  <c r="AA104" i="1"/>
  <c r="W104" i="1" l="1"/>
  <c r="Q104" i="1"/>
  <c r="Y104" i="1" l="1"/>
  <c r="R104" i="1"/>
  <c r="U104" i="1" l="1"/>
  <c r="V104" i="1" s="1"/>
  <c r="X104" i="1" s="1"/>
  <c r="P105" i="1" s="1"/>
  <c r="Z105" i="1" l="1"/>
  <c r="AA105" i="1"/>
  <c r="W105" i="1" l="1"/>
  <c r="Q105" i="1"/>
  <c r="R105" i="1" l="1"/>
  <c r="U105" i="1" s="1"/>
  <c r="V105" i="1" s="1"/>
  <c r="X105" i="1" s="1"/>
  <c r="P106" i="1" s="1"/>
  <c r="Y105" i="1"/>
  <c r="Z106" i="1" l="1"/>
  <c r="AA106" i="1"/>
  <c r="Q106" i="1" l="1"/>
  <c r="W106" i="1"/>
  <c r="Y106" i="1" l="1"/>
  <c r="R106" i="1"/>
  <c r="U106" i="1" s="1"/>
  <c r="V106" i="1" s="1"/>
  <c r="X106" i="1" s="1"/>
  <c r="P107" i="1" s="1"/>
  <c r="Z107" i="1" l="1"/>
  <c r="AA107" i="1"/>
  <c r="Q107" i="1" l="1"/>
  <c r="W107" i="1"/>
  <c r="R107" i="1" l="1"/>
  <c r="Y107" i="1"/>
  <c r="U107" i="1" l="1"/>
  <c r="V107" i="1" s="1"/>
  <c r="X107" i="1" s="1"/>
  <c r="P108" i="1" s="1"/>
  <c r="Z108" i="1" l="1"/>
  <c r="AA108" i="1"/>
  <c r="W108" i="1" l="1"/>
  <c r="Q108" i="1"/>
  <c r="Y108" i="1" l="1"/>
  <c r="R108" i="1"/>
  <c r="U108" i="1" l="1"/>
  <c r="V108" i="1" s="1"/>
  <c r="X108" i="1" s="1"/>
  <c r="P109" i="1" s="1"/>
  <c r="Z109" i="1" l="1"/>
  <c r="AA109" i="1"/>
  <c r="W109" i="1" l="1"/>
  <c r="Q109" i="1"/>
  <c r="R109" i="1" l="1"/>
  <c r="Y109" i="1"/>
  <c r="U109" i="1" l="1"/>
  <c r="V109" i="1" s="1"/>
  <c r="X109" i="1" s="1"/>
  <c r="P110" i="1" s="1"/>
  <c r="Z110" i="1" l="1"/>
  <c r="AA110" i="1"/>
  <c r="Q110" i="1" l="1"/>
  <c r="W110" i="1"/>
  <c r="Y110" i="1" l="1"/>
  <c r="R110" i="1"/>
  <c r="U110" i="1" l="1"/>
  <c r="V110" i="1" s="1"/>
  <c r="X110" i="1" s="1"/>
  <c r="P111" i="1" s="1"/>
  <c r="Z111" i="1" l="1"/>
  <c r="AA111" i="1"/>
  <c r="W111" i="1" l="1"/>
  <c r="Q111" i="1"/>
  <c r="R111" i="1" l="1"/>
  <c r="U111" i="1" s="1"/>
  <c r="V111" i="1" s="1"/>
  <c r="X111" i="1" s="1"/>
  <c r="P112" i="1" s="1"/>
  <c r="Y111" i="1"/>
  <c r="Z112" i="1" l="1"/>
  <c r="AA112" i="1"/>
  <c r="W112" i="1" l="1"/>
  <c r="Q112" i="1"/>
  <c r="R112" i="1" l="1"/>
  <c r="U112" i="1" s="1"/>
  <c r="V112" i="1" s="1"/>
  <c r="X112" i="1" s="1"/>
  <c r="P113" i="1" s="1"/>
  <c r="Y112" i="1"/>
  <c r="Z113" i="1" l="1"/>
  <c r="AA113" i="1"/>
  <c r="W113" i="1" l="1"/>
  <c r="Q113" i="1"/>
  <c r="R113" i="1" l="1"/>
  <c r="U113" i="1" s="1"/>
  <c r="V113" i="1" s="1"/>
  <c r="X113" i="1" s="1"/>
  <c r="P114" i="1" s="1"/>
  <c r="Y113" i="1"/>
  <c r="Z114" i="1" l="1"/>
  <c r="AA114" i="1"/>
  <c r="Q114" i="1" l="1"/>
  <c r="W114" i="1"/>
  <c r="Y114" i="1" l="1"/>
  <c r="R114" i="1"/>
  <c r="U114" i="1" l="1"/>
  <c r="V114" i="1" s="1"/>
  <c r="X114" i="1" s="1"/>
  <c r="P115" i="1" s="1"/>
  <c r="Z115" i="1" l="1"/>
  <c r="AA115" i="1"/>
  <c r="Q115" i="1" l="1"/>
  <c r="W115" i="1"/>
  <c r="Y115" i="1" l="1"/>
  <c r="R115" i="1"/>
  <c r="U115" i="1" s="1"/>
  <c r="V115" i="1" s="1"/>
  <c r="X115" i="1" s="1"/>
  <c r="P116" i="1" s="1"/>
  <c r="Z116" i="1" l="1"/>
  <c r="AA116" i="1"/>
  <c r="Q116" i="1" l="1"/>
  <c r="W116" i="1"/>
  <c r="Y116" i="1" l="1"/>
  <c r="R116" i="1"/>
  <c r="U116" i="1" l="1"/>
  <c r="V116" i="1" s="1"/>
  <c r="X116" i="1" s="1"/>
  <c r="P117" i="1" s="1"/>
  <c r="Z117" i="1" l="1"/>
  <c r="AA117" i="1"/>
  <c r="Q117" i="1" l="1"/>
  <c r="W117" i="1"/>
  <c r="Y117" i="1" l="1"/>
  <c r="R117" i="1"/>
  <c r="U117" i="1" s="1"/>
  <c r="V117" i="1" s="1"/>
  <c r="X117" i="1" s="1"/>
  <c r="P118" i="1" s="1"/>
  <c r="Z118" i="1" l="1"/>
  <c r="AA118" i="1"/>
  <c r="Q118" i="1" l="1"/>
  <c r="W118" i="1"/>
  <c r="R118" i="1" l="1"/>
  <c r="Y118" i="1"/>
  <c r="U118" i="1" l="1"/>
  <c r="V118" i="1" s="1"/>
  <c r="X118" i="1" s="1"/>
  <c r="P119" i="1" s="1"/>
  <c r="Z119" i="1" l="1"/>
  <c r="AA119" i="1"/>
  <c r="Q119" i="1" l="1"/>
  <c r="W119" i="1"/>
  <c r="Y119" i="1" l="1"/>
  <c r="R119" i="1"/>
  <c r="U119" i="1" s="1"/>
  <c r="V119" i="1" s="1"/>
  <c r="X119" i="1" s="1"/>
  <c r="P120" i="1" s="1"/>
  <c r="Z120" i="1" l="1"/>
  <c r="AA120" i="1"/>
  <c r="Q120" i="1" l="1"/>
  <c r="W120" i="1"/>
  <c r="R120" i="1" l="1"/>
  <c r="Y120" i="1"/>
  <c r="U120" i="1" l="1"/>
  <c r="V120" i="1" s="1"/>
  <c r="X120" i="1" s="1"/>
  <c r="P121" i="1" s="1"/>
  <c r="Z121" i="1" l="1"/>
  <c r="AA121" i="1"/>
  <c r="W121" i="1" l="1"/>
  <c r="Q121" i="1"/>
  <c r="R121" i="1" l="1"/>
  <c r="Y121" i="1"/>
  <c r="U121" i="1" l="1"/>
  <c r="V121" i="1" s="1"/>
  <c r="X121" i="1" s="1"/>
  <c r="P122" i="1" s="1"/>
  <c r="Z122" i="1" l="1"/>
  <c r="AA122" i="1"/>
  <c r="Q122" i="1" l="1"/>
  <c r="W122" i="1"/>
  <c r="Y122" i="1" l="1"/>
  <c r="R122" i="1"/>
  <c r="U122" i="1" s="1"/>
  <c r="V122" i="1" s="1"/>
  <c r="X122" i="1" s="1"/>
  <c r="P123" i="1" s="1"/>
  <c r="Z123" i="1" l="1"/>
  <c r="AA123" i="1"/>
  <c r="Q123" i="1" l="1"/>
  <c r="W123" i="1"/>
  <c r="R123" i="1" l="1"/>
  <c r="U123" i="1" s="1"/>
  <c r="V123" i="1" s="1"/>
  <c r="X123" i="1" s="1"/>
  <c r="P124" i="1" s="1"/>
  <c r="Y123" i="1"/>
  <c r="Z124" i="1" l="1"/>
  <c r="AA124" i="1"/>
  <c r="Q124" i="1" l="1"/>
  <c r="W124" i="1"/>
  <c r="Y124" i="1" l="1"/>
  <c r="R124" i="1"/>
  <c r="U124" i="1" s="1"/>
  <c r="V124" i="1" s="1"/>
  <c r="X124" i="1" s="1"/>
  <c r="P125" i="1" s="1"/>
  <c r="Z125" i="1" l="1"/>
  <c r="AA125" i="1"/>
  <c r="Q125" i="1" l="1"/>
  <c r="W125" i="1"/>
  <c r="R125" i="1" l="1"/>
  <c r="Y125" i="1"/>
  <c r="U125" i="1" l="1"/>
  <c r="V125" i="1" s="1"/>
  <c r="X125" i="1" s="1"/>
  <c r="P126" i="1" s="1"/>
  <c r="Z126" i="1" l="1"/>
  <c r="AA126" i="1"/>
  <c r="Q126" i="1" l="1"/>
  <c r="W126" i="1"/>
  <c r="Y126" i="1" l="1"/>
  <c r="R126" i="1"/>
  <c r="U126" i="1" s="1"/>
  <c r="V126" i="1" s="1"/>
  <c r="X126" i="1" s="1"/>
  <c r="P127" i="1" s="1"/>
  <c r="Z127" i="1" l="1"/>
  <c r="AA127" i="1"/>
  <c r="Q127" i="1" l="1"/>
  <c r="W127" i="1"/>
  <c r="R127" i="1" l="1"/>
  <c r="Y127" i="1"/>
  <c r="U127" i="1" l="1"/>
  <c r="V127" i="1" s="1"/>
  <c r="X127" i="1" s="1"/>
  <c r="P128" i="1" s="1"/>
  <c r="Z128" i="1" l="1"/>
  <c r="AA128" i="1"/>
  <c r="Q128" i="1" l="1"/>
  <c r="W128" i="1"/>
  <c r="Y128" i="1" l="1"/>
  <c r="R128" i="1"/>
  <c r="U128" i="1" s="1"/>
  <c r="V128" i="1" s="1"/>
  <c r="X128" i="1" s="1"/>
  <c r="P129" i="1" s="1"/>
  <c r="Z129" i="1" l="1"/>
  <c r="AA129" i="1"/>
  <c r="Q129" i="1" l="1"/>
  <c r="W129" i="1"/>
  <c r="Y129" i="1" l="1"/>
  <c r="R129" i="1"/>
  <c r="U129" i="1" s="1"/>
  <c r="V129" i="1" s="1"/>
  <c r="X129" i="1" s="1"/>
  <c r="P130" i="1" s="1"/>
  <c r="Z130" i="1" l="1"/>
  <c r="AA130" i="1"/>
  <c r="Q130" i="1" l="1"/>
  <c r="W130" i="1"/>
  <c r="R130" i="1" l="1"/>
  <c r="U130" i="1" s="1"/>
  <c r="V130" i="1" s="1"/>
  <c r="X130" i="1" s="1"/>
  <c r="P131" i="1" s="1"/>
  <c r="Y130" i="1"/>
  <c r="Z131" i="1" l="1"/>
  <c r="AA131" i="1"/>
  <c r="Q131" i="1" l="1"/>
  <c r="W131" i="1"/>
  <c r="R131" i="1" l="1"/>
  <c r="U131" i="1" s="1"/>
  <c r="V131" i="1" s="1"/>
  <c r="X131" i="1" s="1"/>
  <c r="P132" i="1" s="1"/>
  <c r="Y131" i="1"/>
  <c r="Z132" i="1" l="1"/>
  <c r="AA132" i="1"/>
  <c r="Q132" i="1" l="1"/>
  <c r="W132" i="1"/>
  <c r="R132" i="1" l="1"/>
  <c r="U132" i="1" s="1"/>
  <c r="V132" i="1" s="1"/>
  <c r="X132" i="1" s="1"/>
  <c r="P133" i="1" s="1"/>
  <c r="Y132" i="1"/>
  <c r="Z133" i="1" l="1"/>
  <c r="AA133" i="1"/>
  <c r="Q133" i="1" l="1"/>
  <c r="W133" i="1"/>
  <c r="R133" i="1" l="1"/>
  <c r="U133" i="1" s="1"/>
  <c r="V133" i="1" s="1"/>
  <c r="X133" i="1" s="1"/>
  <c r="P134" i="1" s="1"/>
  <c r="Y133" i="1"/>
  <c r="Z134" i="1" l="1"/>
  <c r="AA134" i="1"/>
  <c r="Q134" i="1" l="1"/>
  <c r="W134" i="1"/>
  <c r="R134" i="1" l="1"/>
  <c r="U134" i="1" s="1"/>
  <c r="V134" i="1" s="1"/>
  <c r="X134" i="1" s="1"/>
  <c r="Y134" i="1"/>
  <c r="B39" i="1"/>
  <c r="B40" i="1"/>
  <c r="K2" i="3"/>
  <c r="K4" i="3" l="1"/>
  <c r="K5" i="3"/>
  <c r="B14" i="4" l="1"/>
</calcChain>
</file>

<file path=xl/sharedStrings.xml><?xml version="1.0" encoding="utf-8"?>
<sst xmlns="http://schemas.openxmlformats.org/spreadsheetml/2006/main" count="353" uniqueCount="223">
  <si>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</si>
  <si>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</si>
  <si>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</si>
  <si>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</si>
  <si>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</si>
  <si>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</si>
  <si>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</si>
  <si>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</si>
  <si>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</si>
  <si>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</si>
  <si>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</si>
  <si>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</si>
  <si>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</si>
  <si>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</si>
  <si>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</si>
  <si>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</si>
  <si>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</si>
  <si>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</si>
  <si>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</si>
  <si>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</si>
  <si>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</si>
  <si>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</si>
  <si>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</si>
  <si>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</si>
  <si>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</si>
  <si>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</si>
  <si>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</si>
  <si>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</si>
  <si>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</si>
  <si>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</si>
  <si>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</si>
  <si>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</si>
  <si>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</si>
  <si>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</si>
  <si>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</si>
  <si>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</si>
  <si>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</si>
  <si>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</si>
  <si>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</si>
  <si>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</si>
  <si>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</si>
  <si>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</si>
  <si>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Battery Weight</t>
  </si>
  <si>
    <t>Air Speed</t>
  </si>
  <si>
    <t>Thrust</t>
  </si>
  <si>
    <t>x^2</t>
  </si>
  <si>
    <t>x</t>
  </si>
  <si>
    <t>Graupner 5.5x4.3</t>
  </si>
  <si>
    <t>230 W Nominal</t>
  </si>
  <si>
    <t>HeadWind</t>
  </si>
  <si>
    <t>kts</t>
  </si>
  <si>
    <t xml:space="preserve">lbm  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</si>
  <si>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</si>
  <si>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</si>
  <si>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</si>
  <si>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</si>
  <si>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</si>
  <si>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</si>
  <si>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</si>
  <si>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</si>
  <si>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</si>
  <si>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</si>
  <si>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</si>
  <si>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</si>
  <si>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</si>
  <si>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</si>
  <si>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</si>
  <si>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</si>
  <si>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</si>
  <si>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</si>
  <si>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</si>
  <si>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</si>
  <si>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</si>
  <si>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</si>
  <si>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</si>
  <si>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</si>
  <si>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</si>
  <si>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</si>
  <si>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</si>
  <si>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</si>
  <si>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</si>
  <si>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</si>
  <si>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</si>
  <si>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</si>
  <si>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</si>
  <si>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</si>
  <si>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</si>
  <si>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</si>
  <si>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</si>
  <si>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</si>
  <si>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</si>
  <si>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</si>
  <si>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</si>
  <si>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</si>
  <si>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</si>
  <si>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</si>
  <si>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</si>
  <si>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</si>
  <si>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</si>
  <si>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</si>
  <si>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</si>
  <si>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</si>
  <si>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</si>
  <si>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</si>
  <si>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</si>
  <si>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</si>
  <si>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</si>
  <si>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</si>
  <si>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</si>
  <si>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</si>
  <si>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</si>
  <si>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</si>
  <si>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</si>
  <si>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</si>
  <si>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</si>
  <si>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</si>
  <si>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</si>
  <si>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</si>
  <si>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</si>
  <si>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</si>
  <si>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</si>
  <si>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</si>
  <si>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</si>
  <si>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</si>
  <si>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</si>
  <si>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</si>
  <si>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</si>
  <si>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</si>
  <si>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</si>
  <si>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</si>
  <si>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</si>
  <si>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</si>
  <si>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t>28% CRUD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</si>
  <si>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</si>
  <si>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</si>
  <si>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</si>
  <si>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</si>
  <si>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</si>
  <si>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</si>
  <si>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</si>
  <si>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</si>
  <si>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</si>
  <si>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</si>
  <si>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</si>
  <si>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</si>
  <si>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</si>
  <si>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</si>
  <si>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</si>
  <si>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</si>
  <si>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</si>
  <si>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</si>
  <si>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</si>
  <si>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</si>
  <si>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</si>
  <si>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</si>
  <si>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</si>
  <si>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</si>
  <si>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</si>
  <si>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</si>
  <si>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</si>
  <si>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</si>
  <si>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\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</si>
  <si>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</si>
  <si>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</si>
  <si>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</si>
  <si>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</si>
  <si>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</si>
  <si>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</si>
  <si>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</si>
  <si>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</si>
  <si>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</si>
  <si>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</si>
  <si>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</si>
  <si>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</si>
  <si>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</si>
  <si>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</si>
  <si>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</si>
  <si>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</si>
  <si>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</si>
  <si>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</si>
  <si>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</si>
  <si>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</si>
  <si>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</si>
  <si>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</si>
  <si>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</si>
  <si>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</si>
  <si>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</si>
  <si>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Turning Stall Speed Margin</t>
  </si>
  <si>
    <t>Aircraft Empty Weight</t>
  </si>
  <si>
    <t>HORIZ TAIL</t>
  </si>
  <si>
    <t>MATERIAL DENSITY</t>
  </si>
  <si>
    <t>Balsa</t>
  </si>
  <si>
    <t>lb/in^3</t>
  </si>
  <si>
    <t>Foam</t>
  </si>
  <si>
    <t>Find out correct density</t>
  </si>
  <si>
    <t>Sairfoil/c</t>
  </si>
  <si>
    <t>Span</t>
  </si>
  <si>
    <t>VOLUME</t>
  </si>
  <si>
    <t>WEIGHT</t>
  </si>
  <si>
    <t>Wing</t>
  </si>
  <si>
    <t>ft^3</t>
  </si>
  <si>
    <t>in^3</t>
  </si>
  <si>
    <t>lb</t>
  </si>
  <si>
    <t>Fuselage</t>
  </si>
  <si>
    <t>Horiz Tail</t>
  </si>
  <si>
    <t>Vert Tail</t>
  </si>
  <si>
    <t>TOTAL EMPTY WEIGHT</t>
  </si>
  <si>
    <t>version 2.1.6 - w/ macros for trade studies, named cells, zero-lift-drag calculator, parametric weight and aircraft dimension calculator</t>
  </si>
  <si>
    <t>ma/hr-per bat pax</t>
  </si>
  <si>
    <t>ma</t>
  </si>
  <si>
    <t>num packs</t>
  </si>
  <si>
    <t>test endurance @ full pwr</t>
  </si>
  <si>
    <t>Predicted Endurance</t>
  </si>
  <si>
    <t>min</t>
  </si>
  <si>
    <t>oz payload</t>
  </si>
  <si>
    <t>&lt;= this looks plausible</t>
  </si>
  <si>
    <t>&lt;= this isnt, the fuselage weight isnt proportional to its volume</t>
  </si>
  <si>
    <t>Motors</t>
  </si>
  <si>
    <t>&lt;= what is the weight of the motors + props</t>
  </si>
  <si>
    <t>Radio / Servos / Wiring</t>
  </si>
  <si>
    <t>&lt;= what is the weight of the radio + servos + wiring?</t>
  </si>
  <si>
    <t>Landing Gear</t>
  </si>
  <si>
    <t>&lt;= what's the weight of the wheels and 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</si>
</sst>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0" fillId="15" borderId="0" xfId="0" applyFill="1" applyAlignment="1">
      <alignment horizontal="center"/>
    </xf>
    <xf numFmtId="0" fontId="8" fillId="15" borderId="0" xfId="0" applyFont="1" applyFill="1" applyAlignment="1">
      <alignment horizontal="center"/>
    </xf>
    <xf numFmtId="0" fontId="13" fillId="0" borderId="0" xfId="0" applyFont="1"/>
    <xf numFmtId="0" fontId="6" fillId="0" borderId="0" xfId="0" applyFont="1"/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8" fillId="0" borderId="0" xfId="0" applyFont="1"/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002944"/>
        <c:axId val="46004864"/>
      </c:scatterChart>
      <c:valAx>
        <c:axId val="46002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4864"/>
        <c:crosses val="autoZero"/>
        <c:crossBetween val="midCat"/>
      </c:valAx>
      <c:valAx>
        <c:axId val="460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28% CRUD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1.4484697902936992E-2</c:v>
                </c:pt>
                <c:pt idx="1">
                  <c:v>1.2508473451754145E-2</c:v>
                </c:pt>
                <c:pt idx="2">
                  <c:v>2.1340915348512014E-3</c:v>
                </c:pt>
                <c:pt idx="3">
                  <c:v>6.7392364258459002E-4</c:v>
                </c:pt>
                <c:pt idx="4">
                  <c:v>1.5253333333333334E-3</c:v>
                </c:pt>
                <c:pt idx="5">
                  <c:v>2.0833333333333332E-2</c:v>
                </c:pt>
                <c:pt idx="6">
                  <c:v>8.7714255623288738E-3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29</xdr:row>
      <xdr:rowOff>171450</xdr:rowOff>
    </xdr:from>
    <xdr:to>
      <xdr:col>12</xdr:col>
      <xdr:colOff>285750</xdr:colOff>
      <xdr:row>45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134"/>
  <sheetViews>
    <sheetView tabSelected="1" zoomScaleNormal="100" workbookViewId="0">
      <selection activeCell="B31" sqref="B31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20" max="20" width="9.140625" customWidth="1"/>
    <col min="22" max="22" width="9.5703125" bestFit="1" customWidth="1"/>
    <col min="23" max="23" width="10.42578125" customWidth="1"/>
    <col min="24" max="24" width="11" customWidth="1"/>
    <col min="25" max="25" width="10.5703125" bestFit="1" customWidth="1"/>
    <col min="26" max="26" width="11.5703125" bestFit="1" customWidth="1"/>
    <col min="28" max="28" width="10.5703125" bestFit="1" customWidth="1"/>
    <col min="29" max="29" width="10.28515625" bestFit="1" customWidth="1"/>
    <col min="30" max="30" width="11.28515625" bestFit="1" customWidth="1"/>
  </cols>
  <sheetData>
    <row r="1" spans="1:30" s="34" customFormat="1" ht="26.25" x14ac:dyDescent="0.4">
      <c r="A1" s="34" t="s">
        <v>52</v>
      </c>
    </row>
    <row r="2" spans="1:30" x14ac:dyDescent="0.25">
      <c r="A2" s="78"/>
      <c r="B2" s="2" t="s">
        <v>207</v>
      </c>
    </row>
    <row r="4" spans="1:30" x14ac:dyDescent="0.25">
      <c r="B4" s="1" t="s">
        <v>161</v>
      </c>
    </row>
    <row r="5" spans="1:30" x14ac:dyDescent="0.25">
      <c r="A5" s="32" t="s">
        <v>47</v>
      </c>
      <c r="B5" s="32" t="s">
        <v>43</v>
      </c>
      <c r="C5" s="32" t="s">
        <v>44</v>
      </c>
      <c r="J5" t="s">
        <v>91</v>
      </c>
      <c r="L5" t="s">
        <v>92</v>
      </c>
    </row>
    <row r="6" spans="1:30" x14ac:dyDescent="0.25">
      <c r="A6" s="1" t="s">
        <v>48</v>
      </c>
      <c r="B6">
        <v>8.4885999999999999</v>
      </c>
      <c r="C6">
        <v>1.2971999999999999</v>
      </c>
      <c r="E6" s="2"/>
      <c r="F6" s="1"/>
      <c r="G6" t="s">
        <v>82</v>
      </c>
      <c r="J6" s="1">
        <v>20</v>
      </c>
      <c r="K6" t="s">
        <v>34</v>
      </c>
      <c r="L6" s="1">
        <v>20</v>
      </c>
    </row>
    <row r="7" spans="1:30" x14ac:dyDescent="0.25">
      <c r="A7" s="1">
        <v>230</v>
      </c>
      <c r="B7">
        <v>17.124500000000001</v>
      </c>
      <c r="C7">
        <v>1.2618</v>
      </c>
      <c r="G7" t="s">
        <v>83</v>
      </c>
      <c r="J7" s="1">
        <v>42</v>
      </c>
      <c r="K7" t="s">
        <v>34</v>
      </c>
      <c r="L7" s="1">
        <v>33</v>
      </c>
      <c r="O7" s="88" t="s">
        <v>15</v>
      </c>
      <c r="P7" s="88"/>
      <c r="Q7" s="88"/>
      <c r="Y7">
        <v>20</v>
      </c>
    </row>
    <row r="8" spans="1:30" x14ac:dyDescent="0.25">
      <c r="B8">
        <v>25.608000000000001</v>
      </c>
      <c r="C8">
        <v>1.1561999999999999</v>
      </c>
      <c r="G8" t="s">
        <v>84</v>
      </c>
      <c r="I8" s="1"/>
      <c r="J8" s="1">
        <v>6.2146130429476738</v>
      </c>
      <c r="K8" t="s">
        <v>71</v>
      </c>
      <c r="L8" s="37"/>
      <c r="O8" s="3" t="s">
        <v>16</v>
      </c>
      <c r="P8" s="3">
        <f>(P12/(P12+3))*0.11*13</f>
        <v>0.95333333333333337</v>
      </c>
      <c r="Q8" s="3"/>
      <c r="S8" s="4" t="s">
        <v>23</v>
      </c>
      <c r="T8" s="4"/>
      <c r="U8" s="4">
        <f>P10/P8/P13</f>
        <v>2.3685576923076921</v>
      </c>
      <c r="V8" s="4" t="s">
        <v>24</v>
      </c>
      <c r="Y8">
        <f>Y7/1.15</f>
        <v>17.39130434782609</v>
      </c>
    </row>
    <row r="9" spans="1:30" x14ac:dyDescent="0.25">
      <c r="B9">
        <v>35.012900000000002</v>
      </c>
      <c r="C9">
        <v>0.9909</v>
      </c>
      <c r="E9" s="1">
        <f>420/230</f>
        <v>1.826086956521739</v>
      </c>
      <c r="G9" s="40" t="s">
        <v>187</v>
      </c>
      <c r="H9" s="40"/>
      <c r="I9" s="1"/>
      <c r="J9" s="1">
        <v>21</v>
      </c>
      <c r="K9" s="40"/>
      <c r="L9" s="85">
        <f>L7-L6</f>
        <v>13</v>
      </c>
      <c r="O9" s="3" t="s">
        <v>14</v>
      </c>
      <c r="P9" s="56">
        <v>2</v>
      </c>
      <c r="Q9" s="3"/>
      <c r="S9" s="4" t="s">
        <v>25</v>
      </c>
      <c r="T9" s="4"/>
      <c r="U9" s="4">
        <f>SQRT(U8/1481)</f>
        <v>3.9991201702088232E-2</v>
      </c>
      <c r="V9" s="4"/>
    </row>
    <row r="10" spans="1:30" x14ac:dyDescent="0.25">
      <c r="B10">
        <v>39.633200000000002</v>
      </c>
      <c r="C10">
        <v>0.9647</v>
      </c>
      <c r="G10" s="40"/>
      <c r="H10" s="40"/>
      <c r="I10" s="1"/>
      <c r="J10" s="1">
        <v>45</v>
      </c>
      <c r="K10" s="40"/>
      <c r="L10" s="84"/>
      <c r="O10" s="3" t="s">
        <v>3</v>
      </c>
      <c r="P10" s="3">
        <v>11.290125</v>
      </c>
      <c r="Q10" s="3" t="s">
        <v>9</v>
      </c>
      <c r="S10" s="4" t="s">
        <v>33</v>
      </c>
      <c r="T10" s="4"/>
      <c r="U10" s="4">
        <f>U9*661</f>
        <v>26.43418432508032</v>
      </c>
      <c r="V10" s="4" t="s">
        <v>34</v>
      </c>
    </row>
    <row r="11" spans="1:30" x14ac:dyDescent="0.25">
      <c r="B11">
        <v>44.359299999999998</v>
      </c>
      <c r="C11">
        <v>0.87090000000000001</v>
      </c>
      <c r="G11" t="s">
        <v>85</v>
      </c>
      <c r="I11" s="1"/>
      <c r="J11" s="1">
        <v>24</v>
      </c>
      <c r="K11" t="s">
        <v>34</v>
      </c>
      <c r="L11" s="1">
        <v>24</v>
      </c>
      <c r="O11" s="3" t="s">
        <v>2</v>
      </c>
      <c r="P11" s="54">
        <f>'CD0 calculator'!F30</f>
        <v>6.0931278761122476E-2</v>
      </c>
      <c r="Q11" s="3"/>
      <c r="S11" s="3" t="s">
        <v>29</v>
      </c>
      <c r="T11" s="3"/>
      <c r="U11" s="3">
        <v>0</v>
      </c>
    </row>
    <row r="12" spans="1:30" x14ac:dyDescent="0.25">
      <c r="B12">
        <v>49.3264</v>
      </c>
      <c r="C12">
        <v>0.79720000000000002</v>
      </c>
      <c r="G12" t="s">
        <v>86</v>
      </c>
      <c r="I12" s="1"/>
      <c r="J12" s="1">
        <v>41</v>
      </c>
      <c r="K12" t="s">
        <v>34</v>
      </c>
      <c r="L12" s="1">
        <v>33</v>
      </c>
      <c r="O12" s="3" t="s">
        <v>12</v>
      </c>
      <c r="P12" s="55">
        <v>6</v>
      </c>
      <c r="Q12" s="3"/>
      <c r="S12" s="3" t="s">
        <v>38</v>
      </c>
      <c r="T12" s="3"/>
      <c r="U12" s="3">
        <v>0.05</v>
      </c>
    </row>
    <row r="13" spans="1:30" x14ac:dyDescent="0.25">
      <c r="B13">
        <v>54.162799999999997</v>
      </c>
      <c r="C13">
        <v>0.70399999999999996</v>
      </c>
      <c r="G13" t="s">
        <v>87</v>
      </c>
      <c r="I13" s="1"/>
      <c r="J13" s="1">
        <v>67.188262170243831</v>
      </c>
      <c r="K13" t="s">
        <v>71</v>
      </c>
      <c r="L13" s="38"/>
      <c r="O13" s="3" t="s">
        <v>7</v>
      </c>
      <c r="P13" s="55">
        <v>5</v>
      </c>
      <c r="Q13" s="3" t="s">
        <v>8</v>
      </c>
      <c r="S13" s="35" t="s">
        <v>70</v>
      </c>
      <c r="U13">
        <f>SQRT(P13*P12)</f>
        <v>5.4772255750516612</v>
      </c>
      <c r="V13" t="s">
        <v>71</v>
      </c>
      <c r="X13" t="s">
        <v>72</v>
      </c>
    </row>
    <row r="14" spans="1:30" x14ac:dyDescent="0.25">
      <c r="B14">
        <v>59.412700000000001</v>
      </c>
      <c r="C14">
        <v>0.61890000000000001</v>
      </c>
      <c r="G14" s="40" t="s">
        <v>187</v>
      </c>
      <c r="H14" s="40"/>
      <c r="I14" s="1"/>
      <c r="J14" s="1">
        <v>37.710645436067395</v>
      </c>
      <c r="K14" s="40"/>
      <c r="L14" s="85">
        <f>L12-L11</f>
        <v>9</v>
      </c>
      <c r="O14" s="33" t="s">
        <v>49</v>
      </c>
      <c r="P14" s="56">
        <v>15</v>
      </c>
      <c r="Q14" s="3" t="s">
        <v>50</v>
      </c>
    </row>
    <row r="15" spans="1:30" ht="45" x14ac:dyDescent="0.25">
      <c r="G15" s="40"/>
      <c r="H15" s="40"/>
      <c r="I15" s="1"/>
      <c r="J15" s="1"/>
      <c r="K15" s="40"/>
      <c r="L15" s="85"/>
      <c r="O15" s="5" t="s">
        <v>1</v>
      </c>
      <c r="P15" s="5" t="s">
        <v>4</v>
      </c>
      <c r="Q15" s="5" t="s">
        <v>5</v>
      </c>
      <c r="R15" s="5" t="s">
        <v>6</v>
      </c>
      <c r="S15" s="5" t="s">
        <v>10</v>
      </c>
      <c r="T15" s="5" t="s">
        <v>11</v>
      </c>
      <c r="U15" s="5" t="s">
        <v>32</v>
      </c>
      <c r="V15" s="5" t="s">
        <v>136</v>
      </c>
      <c r="W15" s="5" t="s">
        <v>17</v>
      </c>
      <c r="X15" s="5" t="s">
        <v>18</v>
      </c>
      <c r="Y15" s="5" t="s">
        <v>19</v>
      </c>
      <c r="Z15" s="5" t="s">
        <v>31</v>
      </c>
      <c r="AA15" s="5" t="s">
        <v>35</v>
      </c>
      <c r="AB15" s="5" t="s">
        <v>37</v>
      </c>
      <c r="AC15" s="5" t="s">
        <v>137</v>
      </c>
      <c r="AD15" s="5" t="s">
        <v>36</v>
      </c>
    </row>
    <row r="16" spans="1:30" x14ac:dyDescent="0.25">
      <c r="G16" t="s">
        <v>89</v>
      </c>
      <c r="I16" s="1"/>
      <c r="J16" s="1">
        <v>27</v>
      </c>
      <c r="K16" t="s">
        <v>34</v>
      </c>
      <c r="L16" s="1">
        <v>27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9" t="str">
        <f>IF(W16&lt;1,"",$P$10/Q16/$P$13)</f>
        <v/>
      </c>
      <c r="S16" s="9" t="str">
        <f>IF(W16&lt;1,"",R16^2/(PI()*$P$12)+$P$11)</f>
        <v/>
      </c>
      <c r="T16" s="8" t="str">
        <f>IF(S16="","",Q16*S16*$P$13)</f>
        <v/>
      </c>
      <c r="U16" s="8">
        <f t="shared" ref="U16:U47" si="0">$P$9*($G$34*O16^2+$G$35*O16+$G$36)</f>
        <v>2.6073999999999997</v>
      </c>
      <c r="V16" s="6" t="str">
        <f>IF(S16="","",(U16-T16)/$P$10)</f>
        <v/>
      </c>
      <c r="W16" s="10">
        <f>P16/$U$9</f>
        <v>0.37829803549157232</v>
      </c>
      <c r="X16" s="8" t="str">
        <f>IF(W16&lt;1,"",R16/S16)</f>
        <v/>
      </c>
      <c r="Y16" s="9" t="str">
        <f>IF(W16&lt;1,"",X16*P16)</f>
        <v/>
      </c>
      <c r="Z16" s="11">
        <f>O16-$U$10</f>
        <v>-16.43418432508032</v>
      </c>
      <c r="AA16" s="6" t="str">
        <f>IF(W16&lt;1,"",V16*O16/60*6080)</f>
        <v/>
      </c>
      <c r="AB16" s="8" t="str">
        <f t="shared" ref="AB16:AB68" si="1">IF(W16&lt;1,"",W16^2)</f>
        <v/>
      </c>
      <c r="AC16" s="9" t="str">
        <f t="shared" ref="AC16:AC68" si="2">IF(W16&lt;1,"",(U16-(Q16*$P$13*($P$11+$P$8^2/(PI()*$P$12))))/$P$10)</f>
        <v/>
      </c>
      <c r="AD16" s="11" t="str">
        <f t="shared" ref="AD16:AD68" si="3">IF(W16&lt;1,"",AC16*O16*6080/60)</f>
        <v/>
      </c>
    </row>
    <row r="17" spans="1:30" x14ac:dyDescent="0.25">
      <c r="G17" t="s">
        <v>90</v>
      </c>
      <c r="I17" s="1"/>
      <c r="J17" s="1">
        <v>40</v>
      </c>
      <c r="K17" t="s">
        <v>34</v>
      </c>
      <c r="L17" s="1">
        <v>33</v>
      </c>
      <c r="O17" s="6">
        <v>20</v>
      </c>
      <c r="P17" s="7">
        <f>O17/661</f>
        <v>3.0257186081694403E-2</v>
      </c>
      <c r="Q17" s="8">
        <f>1481*P17^2</f>
        <v>1.3558515154913588</v>
      </c>
      <c r="R17" s="9" t="str">
        <f t="shared" ref="R17:R68" si="4">IF(W17&lt;1,"",$P$10/Q17/$P$13)</f>
        <v/>
      </c>
      <c r="S17" s="9" t="str">
        <f t="shared" ref="S17:S68" si="5">IF(W17&lt;1,"",R17^2/(PI()*$P$12)+$P$11)</f>
        <v/>
      </c>
      <c r="T17" s="8" t="str">
        <f t="shared" ref="T17:T68" si="6">IF(S17="","",Q17*S17*$P$13)</f>
        <v/>
      </c>
      <c r="U17" s="8">
        <f t="shared" si="0"/>
        <v>2.4234</v>
      </c>
      <c r="V17" s="8" t="str">
        <f t="shared" ref="V17:V68" si="7">IF(S17="","",(U17-T17)/$P$10)</f>
        <v/>
      </c>
      <c r="W17" s="10">
        <f t="shared" ref="W17:W68" si="8">P17/$U$9</f>
        <v>0.75659607098314463</v>
      </c>
      <c r="X17" s="8" t="str">
        <f t="shared" ref="X17:X68" si="9">IF(W17&lt;1,"",R17/S17)</f>
        <v/>
      </c>
      <c r="Y17" s="9" t="str">
        <f t="shared" ref="Y17:Y68" si="10">IF(W17&lt;1,"",X17*P17)</f>
        <v/>
      </c>
      <c r="Z17" s="11">
        <f t="shared" ref="Z17:Z68" si="11">O17-$U$10</f>
        <v>-6.4341843250803201</v>
      </c>
      <c r="AA17" s="6" t="str">
        <f t="shared" ref="AA17:AA68" si="12">IF(W17&lt;1,"",V17*O17/60*6080)</f>
        <v/>
      </c>
      <c r="AB17" s="8" t="str">
        <f t="shared" si="1"/>
        <v/>
      </c>
      <c r="AC17" s="9" t="str">
        <f t="shared" si="2"/>
        <v/>
      </c>
      <c r="AD17" s="11" t="str">
        <f t="shared" si="3"/>
        <v/>
      </c>
    </row>
    <row r="18" spans="1:30" x14ac:dyDescent="0.25">
      <c r="A18" s="1" t="s">
        <v>208</v>
      </c>
      <c r="B18" s="1">
        <v>1500</v>
      </c>
      <c r="C18" s="1" t="s">
        <v>209</v>
      </c>
      <c r="G18" t="s">
        <v>88</v>
      </c>
      <c r="I18" s="1"/>
      <c r="J18" s="1">
        <v>152.42796139198529</v>
      </c>
      <c r="K18" t="s">
        <v>71</v>
      </c>
      <c r="L18" s="38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9" t="str">
        <f t="shared" si="4"/>
        <v/>
      </c>
      <c r="S18" s="9" t="str">
        <f t="shared" si="5"/>
        <v/>
      </c>
      <c r="T18" s="8" t="str">
        <f t="shared" si="6"/>
        <v/>
      </c>
      <c r="U18" s="8">
        <f t="shared" si="0"/>
        <v>2.4028</v>
      </c>
      <c r="V18" s="8" t="str">
        <f t="shared" si="7"/>
        <v/>
      </c>
      <c r="W18" s="10">
        <f t="shared" si="8"/>
        <v>0.79442587453230185</v>
      </c>
      <c r="X18" s="8" t="str">
        <f t="shared" si="9"/>
        <v/>
      </c>
      <c r="Y18" s="9" t="str">
        <f t="shared" si="10"/>
        <v/>
      </c>
      <c r="Z18" s="11">
        <f t="shared" si="11"/>
        <v>-5.4341843250803201</v>
      </c>
      <c r="AA18" s="6" t="str">
        <f t="shared" si="12"/>
        <v/>
      </c>
      <c r="AB18" s="8" t="str">
        <f t="shared" si="1"/>
        <v/>
      </c>
      <c r="AC18" s="9" t="str">
        <f t="shared" si="2"/>
        <v/>
      </c>
      <c r="AD18" s="11" t="str">
        <f t="shared" si="3"/>
        <v/>
      </c>
    </row>
    <row r="19" spans="1:30" x14ac:dyDescent="0.25">
      <c r="A19" s="1" t="s">
        <v>210</v>
      </c>
      <c r="B19" s="52">
        <v>4</v>
      </c>
      <c r="G19" t="s">
        <v>187</v>
      </c>
      <c r="I19" s="1"/>
      <c r="J19" s="1"/>
      <c r="L19" s="36">
        <f>L17-L16</f>
        <v>6</v>
      </c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9" t="str">
        <f t="shared" si="4"/>
        <v/>
      </c>
      <c r="S19" s="9" t="str">
        <f t="shared" si="5"/>
        <v/>
      </c>
      <c r="T19" s="8" t="str">
        <f t="shared" si="6"/>
        <v/>
      </c>
      <c r="U19" s="8">
        <f t="shared" si="0"/>
        <v>2.3817999999999997</v>
      </c>
      <c r="V19" s="8" t="str">
        <f t="shared" si="7"/>
        <v/>
      </c>
      <c r="W19" s="10">
        <f t="shared" si="8"/>
        <v>0.83225567808145906</v>
      </c>
      <c r="X19" s="8" t="str">
        <f t="shared" si="9"/>
        <v/>
      </c>
      <c r="Y19" s="9" t="str">
        <f t="shared" si="10"/>
        <v/>
      </c>
      <c r="Z19" s="11">
        <f t="shared" si="11"/>
        <v>-4.4341843250803201</v>
      </c>
      <c r="AA19" s="6" t="str">
        <f t="shared" si="12"/>
        <v/>
      </c>
      <c r="AB19" s="8" t="str">
        <f t="shared" si="1"/>
        <v/>
      </c>
      <c r="AC19" s="9" t="str">
        <f t="shared" si="2"/>
        <v/>
      </c>
      <c r="AD19" s="11" t="str">
        <f t="shared" si="3"/>
        <v/>
      </c>
    </row>
    <row r="20" spans="1:30" x14ac:dyDescent="0.25">
      <c r="A20" s="1" t="s">
        <v>211</v>
      </c>
      <c r="B20" s="1">
        <v>5</v>
      </c>
      <c r="G20" s="40"/>
      <c r="H20" s="40"/>
      <c r="I20" s="1"/>
      <c r="J20" s="1"/>
      <c r="K20" s="40"/>
      <c r="L20" s="40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9" t="str">
        <f t="shared" si="4"/>
        <v/>
      </c>
      <c r="S20" s="9" t="str">
        <f t="shared" si="5"/>
        <v/>
      </c>
      <c r="T20" s="8" t="str">
        <f t="shared" si="6"/>
        <v/>
      </c>
      <c r="U20" s="8">
        <f t="shared" si="0"/>
        <v>2.3603999999999998</v>
      </c>
      <c r="V20" s="8" t="str">
        <f t="shared" si="7"/>
        <v/>
      </c>
      <c r="W20" s="10">
        <f t="shared" si="8"/>
        <v>0.87008548163061628</v>
      </c>
      <c r="X20" s="8" t="str">
        <f t="shared" si="9"/>
        <v/>
      </c>
      <c r="Y20" s="9" t="str">
        <f t="shared" si="10"/>
        <v/>
      </c>
      <c r="Z20" s="11">
        <f t="shared" si="11"/>
        <v>-3.4341843250803201</v>
      </c>
      <c r="AA20" s="6" t="str">
        <f t="shared" si="12"/>
        <v/>
      </c>
      <c r="AB20" s="8" t="str">
        <f t="shared" si="1"/>
        <v/>
      </c>
      <c r="AC20" s="9" t="str">
        <f t="shared" si="2"/>
        <v/>
      </c>
      <c r="AD20" s="11" t="str">
        <f t="shared" si="3"/>
        <v/>
      </c>
    </row>
    <row r="21" spans="1:30" x14ac:dyDescent="0.25">
      <c r="A21" s="1" t="s">
        <v>42</v>
      </c>
      <c r="B21" s="1">
        <f>0.68*NUMCELLS</f>
        <v>2.72</v>
      </c>
      <c r="C21" s="1" t="s">
        <v>51</v>
      </c>
      <c r="G21" s="40"/>
      <c r="H21" s="40"/>
      <c r="I21" s="1"/>
      <c r="J21" s="1"/>
      <c r="K21" s="40"/>
      <c r="L21" s="40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9" t="str">
        <f t="shared" si="4"/>
        <v/>
      </c>
      <c r="S21" s="9" t="str">
        <f t="shared" si="5"/>
        <v/>
      </c>
      <c r="T21" s="8" t="str">
        <f t="shared" si="6"/>
        <v/>
      </c>
      <c r="U21" s="8">
        <f t="shared" si="0"/>
        <v>2.3386</v>
      </c>
      <c r="V21" s="8" t="str">
        <f t="shared" si="7"/>
        <v/>
      </c>
      <c r="W21" s="10">
        <f t="shared" si="8"/>
        <v>0.9079152851797736</v>
      </c>
      <c r="X21" s="8" t="str">
        <f t="shared" si="9"/>
        <v/>
      </c>
      <c r="Y21" s="9" t="str">
        <f t="shared" si="10"/>
        <v/>
      </c>
      <c r="Z21" s="11">
        <f t="shared" si="11"/>
        <v>-2.4341843250803201</v>
      </c>
      <c r="AA21" s="11" t="str">
        <f t="shared" si="12"/>
        <v/>
      </c>
      <c r="AB21" s="8" t="str">
        <f t="shared" si="1"/>
        <v/>
      </c>
      <c r="AC21" s="9" t="str">
        <f t="shared" si="2"/>
        <v/>
      </c>
      <c r="AD21" s="11" t="str">
        <f t="shared" si="3"/>
        <v/>
      </c>
    </row>
    <row r="22" spans="1:30" x14ac:dyDescent="0.25">
      <c r="A22" s="1" t="s">
        <v>212</v>
      </c>
      <c r="B22" s="1">
        <f>B20*NUMCELLS/2</f>
        <v>10</v>
      </c>
      <c r="C22" s="1" t="s">
        <v>213</v>
      </c>
      <c r="G22" t="s">
        <v>135</v>
      </c>
      <c r="I22" s="1"/>
      <c r="J22" s="1"/>
      <c r="L22">
        <f>IF(B24&lt;B23,IF(MISSION1_WARNING="",IF(MISSION2_WARNING="",IF(MISSION3_WARNING="",1,0.1),0.1),0.1),0.1)*IF(M1_TURN_MARGIN&gt;10,1,M1_TURN_MARGIN/10)*IF(m2_turn_margin&gt;10,1,m2_turn_margin/10)*IF(m3_turn_margin&gt;10,1,m3_turn_margin/10)</f>
        <v>5.4000000000000006E-2</v>
      </c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9" t="str">
        <f t="shared" si="4"/>
        <v/>
      </c>
      <c r="S22" s="9" t="str">
        <f t="shared" si="5"/>
        <v/>
      </c>
      <c r="T22" s="8" t="str">
        <f t="shared" si="6"/>
        <v/>
      </c>
      <c r="U22" s="8">
        <f t="shared" si="0"/>
        <v>2.3163999999999998</v>
      </c>
      <c r="V22" s="8" t="str">
        <f t="shared" si="7"/>
        <v/>
      </c>
      <c r="W22" s="10">
        <f t="shared" si="8"/>
        <v>0.94574508872893082</v>
      </c>
      <c r="X22" s="8" t="str">
        <f t="shared" si="9"/>
        <v/>
      </c>
      <c r="Y22" s="9" t="str">
        <f t="shared" si="10"/>
        <v/>
      </c>
      <c r="Z22" s="11">
        <f t="shared" si="11"/>
        <v>-1.4341843250803201</v>
      </c>
      <c r="AA22" s="11" t="str">
        <f t="shared" si="12"/>
        <v/>
      </c>
      <c r="AB22" s="8" t="str">
        <f t="shared" si="1"/>
        <v/>
      </c>
      <c r="AC22" s="9" t="str">
        <f t="shared" si="2"/>
        <v/>
      </c>
      <c r="AD22" s="11" t="str">
        <f t="shared" si="3"/>
        <v/>
      </c>
    </row>
    <row r="23" spans="1:30" x14ac:dyDescent="0.25">
      <c r="G23" t="s">
        <v>134</v>
      </c>
      <c r="I23" s="1"/>
      <c r="J23" s="36">
        <f ca="1">NENG+HEADWIND+RAND()</f>
        <v>17.07798400612382</v>
      </c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9" t="str">
        <f t="shared" si="4"/>
        <v/>
      </c>
      <c r="S23" s="9" t="str">
        <f t="shared" si="5"/>
        <v/>
      </c>
      <c r="T23" s="8" t="str">
        <f t="shared" si="6"/>
        <v/>
      </c>
      <c r="U23" s="8">
        <f t="shared" si="0"/>
        <v>2.2938000000000001</v>
      </c>
      <c r="V23" s="8" t="str">
        <f t="shared" si="7"/>
        <v/>
      </c>
      <c r="W23" s="10">
        <f t="shared" si="8"/>
        <v>0.98357489227808814</v>
      </c>
      <c r="X23" s="8" t="str">
        <f t="shared" si="9"/>
        <v/>
      </c>
      <c r="Y23" s="9" t="str">
        <f t="shared" si="10"/>
        <v/>
      </c>
      <c r="Z23" s="11">
        <f t="shared" si="11"/>
        <v>-0.43418432508032012</v>
      </c>
      <c r="AA23" s="11" t="str">
        <f t="shared" si="12"/>
        <v/>
      </c>
      <c r="AB23" s="8" t="str">
        <f t="shared" si="1"/>
        <v/>
      </c>
      <c r="AC23" s="9" t="str">
        <f t="shared" si="2"/>
        <v/>
      </c>
      <c r="AD23" s="11" t="str">
        <f t="shared" si="3"/>
        <v/>
      </c>
    </row>
    <row r="24" spans="1:30" x14ac:dyDescent="0.25"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9">
        <f t="shared" si="4"/>
        <v>0.9137956326778427</v>
      </c>
      <c r="S24" s="9">
        <f t="shared" si="5"/>
        <v>0.10523059603824444</v>
      </c>
      <c r="T24" s="8">
        <f t="shared" si="6"/>
        <v>1.3001447376309969</v>
      </c>
      <c r="U24" s="8">
        <f t="shared" si="0"/>
        <v>2.2707999999999999</v>
      </c>
      <c r="V24" s="8">
        <f t="shared" si="7"/>
        <v>8.5973827780383566E-2</v>
      </c>
      <c r="W24" s="10">
        <f t="shared" si="8"/>
        <v>1.0214046958272451</v>
      </c>
      <c r="X24" s="8">
        <f t="shared" si="9"/>
        <v>8.6837447195085513</v>
      </c>
      <c r="Y24" s="9">
        <f t="shared" si="10"/>
        <v>0.35470666781653687</v>
      </c>
      <c r="Z24" s="11">
        <f t="shared" si="11"/>
        <v>0.56581567491967988</v>
      </c>
      <c r="AA24" s="11">
        <f t="shared" si="12"/>
        <v>235.22439280712945</v>
      </c>
      <c r="AB24" s="8">
        <f t="shared" si="1"/>
        <v>1.0432675526579471</v>
      </c>
      <c r="AC24" s="9">
        <f t="shared" si="2"/>
        <v>8.1687992018929081E-2</v>
      </c>
      <c r="AD24" s="11">
        <f t="shared" si="3"/>
        <v>223.49834616378993</v>
      </c>
    </row>
    <row r="25" spans="1:30" x14ac:dyDescent="0.25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9">
        <f t="shared" si="4"/>
        <v>0.84969007171192268</v>
      </c>
      <c r="S25" s="9">
        <f t="shared" si="5"/>
        <v>9.92331475675296E-2</v>
      </c>
      <c r="T25" s="8">
        <f t="shared" si="6"/>
        <v>1.318545052460844</v>
      </c>
      <c r="U25" s="8">
        <f t="shared" si="0"/>
        <v>2.2473999999999998</v>
      </c>
      <c r="V25" s="8">
        <f t="shared" si="7"/>
        <v>8.2271449389546697E-2</v>
      </c>
      <c r="W25" s="10">
        <f t="shared" si="8"/>
        <v>1.0592344993764025</v>
      </c>
      <c r="X25" s="8">
        <f t="shared" si="9"/>
        <v>8.5625629393010652</v>
      </c>
      <c r="Y25" s="9">
        <f t="shared" si="10"/>
        <v>0.3627106842669135</v>
      </c>
      <c r="Z25" s="11">
        <f t="shared" si="11"/>
        <v>1.5658156749196799</v>
      </c>
      <c r="AA25" s="11">
        <f>IF(W25&lt;1,"",V25*O25/60*6080)</f>
        <v>233.43152573460716</v>
      </c>
      <c r="AB25" s="8">
        <f t="shared" si="1"/>
        <v>1.121977724669178</v>
      </c>
      <c r="AC25" s="9">
        <f t="shared" si="2"/>
        <v>7.0603869877957873E-2</v>
      </c>
      <c r="AD25" s="11">
        <f t="shared" si="3"/>
        <v>200.32671346705914</v>
      </c>
    </row>
    <row r="26" spans="1:30" x14ac:dyDescent="0.25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9">
        <f t="shared" si="4"/>
        <v>0.79210108944369462</v>
      </c>
      <c r="S26" s="9">
        <f t="shared" si="5"/>
        <v>9.4217162975559127E-2</v>
      </c>
      <c r="T26" s="8">
        <f t="shared" si="6"/>
        <v>1.3429138797000073</v>
      </c>
      <c r="U26" s="8">
        <f t="shared" si="0"/>
        <v>2.2235999999999998</v>
      </c>
      <c r="V26" s="8">
        <f t="shared" si="7"/>
        <v>7.8004992885374824E-2</v>
      </c>
      <c r="W26" s="10">
        <f t="shared" si="8"/>
        <v>1.0970643029255598</v>
      </c>
      <c r="X26" s="8">
        <f t="shared" si="9"/>
        <v>8.4071846829985066</v>
      </c>
      <c r="Y26" s="9">
        <f t="shared" si="10"/>
        <v>0.36884773949615229</v>
      </c>
      <c r="Z26" s="11">
        <f t="shared" si="11"/>
        <v>2.5658156749196799</v>
      </c>
      <c r="AA26" s="11">
        <f t="shared" si="12"/>
        <v>229.23067242582152</v>
      </c>
      <c r="AB26" s="8">
        <f t="shared" si="1"/>
        <v>1.2035500847535443</v>
      </c>
      <c r="AC26" s="9">
        <f t="shared" si="2"/>
        <v>5.9156627111301242E-2</v>
      </c>
      <c r="AD26" s="11">
        <f t="shared" si="3"/>
        <v>173.84160820441059</v>
      </c>
    </row>
    <row r="27" spans="1:30" ht="15.75" thickBot="1" x14ac:dyDescent="0.3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9">
        <f t="shared" si="4"/>
        <v>0.7401744624690525</v>
      </c>
      <c r="S27" s="9">
        <f t="shared" si="5"/>
        <v>8.9996060826642202E-2</v>
      </c>
      <c r="T27" s="8">
        <f t="shared" si="6"/>
        <v>1.3727395739256223</v>
      </c>
      <c r="U27" s="8">
        <f t="shared" si="0"/>
        <v>2.1993999999999998</v>
      </c>
      <c r="V27" s="8">
        <f t="shared" si="7"/>
        <v>7.3219776226957412E-2</v>
      </c>
      <c r="W27" s="10">
        <f t="shared" si="8"/>
        <v>1.1348941064747169</v>
      </c>
      <c r="X27" s="8">
        <f t="shared" si="9"/>
        <v>8.2245206697972844</v>
      </c>
      <c r="Y27" s="9">
        <f t="shared" si="10"/>
        <v>0.37327627850819745</v>
      </c>
      <c r="Z27" s="11">
        <f t="shared" si="11"/>
        <v>3.5658156749196799</v>
      </c>
      <c r="AA27" s="11">
        <f t="shared" si="12"/>
        <v>222.58811972995056</v>
      </c>
      <c r="AB27" s="8">
        <f t="shared" si="1"/>
        <v>1.287984632911046</v>
      </c>
      <c r="AC27" s="9">
        <f t="shared" si="2"/>
        <v>4.7346263718959197E-2</v>
      </c>
      <c r="AD27" s="11">
        <f t="shared" si="3"/>
        <v>143.93264170563594</v>
      </c>
    </row>
    <row r="28" spans="1:30" ht="16.5" thickTop="1" thickBot="1" x14ac:dyDescent="0.3">
      <c r="A28" s="1" t="s">
        <v>53</v>
      </c>
      <c r="F28" s="30" t="s">
        <v>39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9">
        <f t="shared" si="4"/>
        <v>0.69319148410213027</v>
      </c>
      <c r="S28" s="9">
        <f t="shared" si="5"/>
        <v>8.6423361207619065E-2</v>
      </c>
      <c r="T28" s="8">
        <f t="shared" si="6"/>
        <v>1.4075916587723289</v>
      </c>
      <c r="U28" s="8">
        <f t="shared" si="0"/>
        <v>2.1747999999999998</v>
      </c>
      <c r="V28" s="8">
        <f t="shared" si="7"/>
        <v>6.7953927988190652E-2</v>
      </c>
      <c r="W28" s="10">
        <f t="shared" si="8"/>
        <v>1.1727239100238742</v>
      </c>
      <c r="X28" s="8">
        <f t="shared" si="9"/>
        <v>8.0208808638770996</v>
      </c>
      <c r="Y28" s="9">
        <f t="shared" si="10"/>
        <v>0.37616839149801828</v>
      </c>
      <c r="Z28" s="11">
        <f t="shared" si="11"/>
        <v>4.5658156749196799</v>
      </c>
      <c r="AA28" s="11">
        <f t="shared" si="12"/>
        <v>213.46593912023627</v>
      </c>
      <c r="AB28" s="8">
        <f t="shared" si="1"/>
        <v>1.3752813691416839</v>
      </c>
      <c r="AC28" s="9">
        <f t="shared" si="2"/>
        <v>3.5172779700931751E-2</v>
      </c>
      <c r="AD28" s="11">
        <f t="shared" si="3"/>
        <v>110.48942530052695</v>
      </c>
    </row>
    <row r="29" spans="1:30" ht="16.5" thickTop="1" thickBot="1" x14ac:dyDescent="0.3">
      <c r="A29" s="1" t="s">
        <v>93</v>
      </c>
      <c r="B29" s="53">
        <f>EW</f>
        <v>3.15</v>
      </c>
      <c r="C29" s="1" t="s">
        <v>54</v>
      </c>
      <c r="F29" s="30" t="s">
        <v>40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9">
        <f t="shared" si="4"/>
        <v>0.65054396115444058</v>
      </c>
      <c r="S29" s="9">
        <f t="shared" si="5"/>
        <v>8.3383131057065712E-2</v>
      </c>
      <c r="T29" s="8">
        <f t="shared" si="6"/>
        <v>1.4471058510097554</v>
      </c>
      <c r="U29" s="8">
        <f t="shared" si="0"/>
        <v>2.1497999999999999</v>
      </c>
      <c r="V29" s="8">
        <f t="shared" si="7"/>
        <v>6.2239713819842078E-2</v>
      </c>
      <c r="W29" s="10">
        <f t="shared" si="8"/>
        <v>1.2105537135730315</v>
      </c>
      <c r="X29" s="8">
        <f t="shared" si="9"/>
        <v>7.8018653522283969</v>
      </c>
      <c r="Y29" s="9">
        <f t="shared" si="10"/>
        <v>0.37769998679471817</v>
      </c>
      <c r="Z29" s="11">
        <f t="shared" si="11"/>
        <v>5.5658156749196799</v>
      </c>
      <c r="AA29" s="11">
        <f t="shared" si="12"/>
        <v>201.82264534647459</v>
      </c>
      <c r="AB29" s="8">
        <f t="shared" si="1"/>
        <v>1.4654402934454573</v>
      </c>
      <c r="AC29" s="9">
        <f t="shared" si="2"/>
        <v>2.2636175057218832E-2</v>
      </c>
      <c r="AD29" s="11">
        <f t="shared" si="3"/>
        <v>73.401570318874931</v>
      </c>
    </row>
    <row r="30" spans="1:30" ht="16.5" thickTop="1" thickBot="1" x14ac:dyDescent="0.3">
      <c r="A30" s="1" t="s">
        <v>42</v>
      </c>
      <c r="B30" s="1">
        <f>B21</f>
        <v>2.72</v>
      </c>
      <c r="C30" s="1" t="s">
        <v>54</v>
      </c>
      <c r="F30" s="30" t="s">
        <v>41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9">
        <f t="shared" si="4"/>
        <v>0.61171443179260532</v>
      </c>
      <c r="S30" s="9">
        <f t="shared" si="5"/>
        <v>8.0782915989125834E-2</v>
      </c>
      <c r="T30" s="8">
        <f>IF(S30="","",Q30*S30*$P$13)</f>
        <v>1.4909722118358473</v>
      </c>
      <c r="U30" s="8">
        <f t="shared" si="0"/>
        <v>2.1243999999999996</v>
      </c>
      <c r="V30" s="8">
        <f t="shared" si="7"/>
        <v>5.6104585924792894E-2</v>
      </c>
      <c r="W30" s="10">
        <f t="shared" si="8"/>
        <v>1.2483835171221886</v>
      </c>
      <c r="X30" s="8">
        <f t="shared" si="9"/>
        <v>7.572324226015164</v>
      </c>
      <c r="Y30" s="9">
        <f t="shared" si="10"/>
        <v>0.37804341824281457</v>
      </c>
      <c r="Z30" s="11">
        <f t="shared" si="11"/>
        <v>6.5658156749196799</v>
      </c>
      <c r="AA30" s="11">
        <f t="shared" si="12"/>
        <v>187.61373533250742</v>
      </c>
      <c r="AB30" s="8">
        <f t="shared" si="1"/>
        <v>1.5584614058223658</v>
      </c>
      <c r="AC30" s="9">
        <f t="shared" si="2"/>
        <v>9.7364497878204889E-3</v>
      </c>
      <c r="AD30" s="11">
        <f t="shared" si="3"/>
        <v>32.558688090471712</v>
      </c>
    </row>
    <row r="31" spans="1:30" ht="15.75" thickTop="1" x14ac:dyDescent="0.25">
      <c r="A31" s="1" t="s">
        <v>58</v>
      </c>
      <c r="B31" s="1">
        <f>'Aircraft Dimensions'!C2</f>
        <v>52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9">
        <f t="shared" si="4"/>
        <v>0.57626039465583667</v>
      </c>
      <c r="S31" s="9">
        <f t="shared" si="5"/>
        <v>7.8548459973834681E-2</v>
      </c>
      <c r="T31" s="8">
        <f t="shared" si="6"/>
        <v>1.5389257007532717</v>
      </c>
      <c r="U31" s="8">
        <f t="shared" si="0"/>
        <v>2.0985999999999998</v>
      </c>
      <c r="V31" s="8">
        <f t="shared" si="7"/>
        <v>4.957201972934118E-2</v>
      </c>
      <c r="W31" s="10">
        <f t="shared" si="8"/>
        <v>1.286213320671346</v>
      </c>
      <c r="X31" s="8">
        <f t="shared" si="9"/>
        <v>7.3363678275525084</v>
      </c>
      <c r="Y31" s="9">
        <f t="shared" si="10"/>
        <v>0.37736233908742101</v>
      </c>
      <c r="Z31" s="11">
        <f t="shared" si="11"/>
        <v>7.5658156749196799</v>
      </c>
      <c r="AA31" s="11">
        <f t="shared" si="12"/>
        <v>170.7921319741568</v>
      </c>
      <c r="AB31" s="8">
        <f t="shared" si="1"/>
        <v>1.6543447062724106</v>
      </c>
      <c r="AC31" s="9">
        <f t="shared" si="2"/>
        <v>-3.5263961072632419E-3</v>
      </c>
      <c r="AD31" s="11">
        <f t="shared" si="3"/>
        <v>-12.149610054890957</v>
      </c>
    </row>
    <row r="32" spans="1:30" x14ac:dyDescent="0.25">
      <c r="A32" s="1" t="s">
        <v>60</v>
      </c>
      <c r="B32" s="1">
        <f>'Aircraft Dimensions'!P2</f>
        <v>1.2585</v>
      </c>
      <c r="C32" s="1" t="s">
        <v>59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9">
        <f t="shared" si="4"/>
        <v>0.54380164589563029</v>
      </c>
      <c r="S32" s="9">
        <f t="shared" si="5"/>
        <v>7.6619724224226832E-2</v>
      </c>
      <c r="T32" s="8">
        <f t="shared" si="6"/>
        <v>1.5907385909660776</v>
      </c>
      <c r="U32" s="8">
        <f t="shared" si="0"/>
        <v>2.0724</v>
      </c>
      <c r="V32" s="8">
        <f t="shared" si="7"/>
        <v>4.2662185674110994E-2</v>
      </c>
      <c r="W32" s="10">
        <f t="shared" si="8"/>
        <v>1.3240431242205031</v>
      </c>
      <c r="X32" s="8">
        <f t="shared" si="9"/>
        <v>7.0974106393831491</v>
      </c>
      <c r="Y32" s="9">
        <f t="shared" si="10"/>
        <v>0.37580843022452376</v>
      </c>
      <c r="Z32" s="11">
        <f t="shared" si="11"/>
        <v>8.5658156749196799</v>
      </c>
      <c r="AA32" s="11">
        <f t="shared" si="12"/>
        <v>151.30855185751366</v>
      </c>
      <c r="AB32" s="8">
        <f t="shared" si="1"/>
        <v>1.7530901947955906</v>
      </c>
      <c r="AC32" s="9">
        <f t="shared" si="2"/>
        <v>-1.715236262803236E-2</v>
      </c>
      <c r="AD32" s="11">
        <f t="shared" si="3"/>
        <v>-60.833712787421433</v>
      </c>
    </row>
    <row r="33" spans="1:30" ht="15.75" thickBot="1" x14ac:dyDescent="0.3">
      <c r="A33" s="1" t="s">
        <v>61</v>
      </c>
      <c r="B33" s="1">
        <f>'Aircraft Dimensions'!F2</f>
        <v>4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9">
        <f t="shared" si="4"/>
        <v>0.51401004338128653</v>
      </c>
      <c r="S33" s="9">
        <f t="shared" si="5"/>
        <v>7.4947859618336859E-2</v>
      </c>
      <c r="T33" s="8">
        <f t="shared" si="6"/>
        <v>1.6462143385509611</v>
      </c>
      <c r="U33" s="8">
        <f t="shared" si="0"/>
        <v>2.0457999999999998</v>
      </c>
      <c r="V33" s="8">
        <f t="shared" si="7"/>
        <v>3.539249223981477E-2</v>
      </c>
      <c r="W33" s="10">
        <f t="shared" si="8"/>
        <v>1.3618729277696602</v>
      </c>
      <c r="X33" s="8">
        <f t="shared" si="9"/>
        <v>6.8582351250432243</v>
      </c>
      <c r="Y33" s="9">
        <f t="shared" si="10"/>
        <v>0.3735196134668019</v>
      </c>
      <c r="Z33" s="11">
        <f t="shared" si="11"/>
        <v>9.5658156749196799</v>
      </c>
      <c r="AA33" s="11">
        <f t="shared" si="12"/>
        <v>129.11181169084429</v>
      </c>
      <c r="AB33" s="8">
        <f t="shared" si="1"/>
        <v>1.854697871391906</v>
      </c>
      <c r="AC33" s="9">
        <f t="shared" si="2"/>
        <v>-3.1141449774486907E-2</v>
      </c>
      <c r="AD33" s="11">
        <f t="shared" si="3"/>
        <v>-113.60400877732825</v>
      </c>
    </row>
    <row r="34" spans="1:30" ht="16.5" thickTop="1" thickBot="1" x14ac:dyDescent="0.3">
      <c r="A34" s="1" t="s">
        <v>62</v>
      </c>
      <c r="B34" s="1">
        <f>'Aircraft Dimensions'!P3</f>
        <v>8</v>
      </c>
      <c r="C34" s="1" t="s">
        <v>59</v>
      </c>
      <c r="G34" s="31">
        <v>-1E-4</v>
      </c>
      <c r="H34" t="s">
        <v>45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9">
        <f t="shared" si="4"/>
        <v>0.4866011805859366</v>
      </c>
      <c r="S34" s="9">
        <f t="shared" si="5"/>
        <v>7.3492885513728567E-2</v>
      </c>
      <c r="T34" s="8">
        <f t="shared" si="6"/>
        <v>1.7051825954502531</v>
      </c>
      <c r="U34" s="8">
        <f t="shared" si="0"/>
        <v>2.0187999999999997</v>
      </c>
      <c r="V34" s="8">
        <f t="shared" si="7"/>
        <v>2.7778027661318774E-2</v>
      </c>
      <c r="W34" s="10">
        <f t="shared" si="8"/>
        <v>1.3997027313188175</v>
      </c>
      <c r="X34" s="8">
        <f t="shared" si="9"/>
        <v>6.6210651165008194</v>
      </c>
      <c r="Y34" s="9">
        <f t="shared" si="10"/>
        <v>0.3706193786846147</v>
      </c>
      <c r="Z34" s="11">
        <f t="shared" si="11"/>
        <v>10.56581567491968</v>
      </c>
      <c r="AA34" s="11">
        <f t="shared" si="12"/>
        <v>104.14908504483788</v>
      </c>
      <c r="AB34" s="8">
        <f t="shared" si="1"/>
        <v>1.9591677360613577</v>
      </c>
      <c r="AC34" s="9">
        <f t="shared" si="2"/>
        <v>-4.5493657546626959E-2</v>
      </c>
      <c r="AD34" s="11">
        <f t="shared" si="3"/>
        <v>-170.57088669482002</v>
      </c>
    </row>
    <row r="35" spans="1:30" ht="16.5" thickTop="1" thickBot="1" x14ac:dyDescent="0.3">
      <c r="G35" s="30">
        <v>-6.1999999999999998E-3</v>
      </c>
      <c r="H35" t="s">
        <v>46</v>
      </c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9">
        <f t="shared" si="4"/>
        <v>0.4613275735610437</v>
      </c>
      <c r="S35" s="9">
        <f t="shared" si="5"/>
        <v>7.2221896482494594E-2</v>
      </c>
      <c r="T35" s="8">
        <f t="shared" si="6"/>
        <v>1.7674951287439786</v>
      </c>
      <c r="U35" s="8">
        <f t="shared" si="0"/>
        <v>1.9913999999999998</v>
      </c>
      <c r="V35" s="8">
        <f t="shared" si="7"/>
        <v>1.9831921369871566E-2</v>
      </c>
      <c r="W35" s="10">
        <f t="shared" si="8"/>
        <v>1.4375325348679748</v>
      </c>
      <c r="X35" s="8">
        <f t="shared" si="9"/>
        <v>6.3876413668098841</v>
      </c>
      <c r="Y35" s="9">
        <f t="shared" si="10"/>
        <v>0.36721690157152131</v>
      </c>
      <c r="Z35" s="11">
        <f t="shared" si="11"/>
        <v>11.56581567491968</v>
      </c>
      <c r="AA35" s="11">
        <f t="shared" si="12"/>
        <v>76.366118554918785</v>
      </c>
      <c r="AB35" s="8">
        <f t="shared" si="1"/>
        <v>2.0664997888039451</v>
      </c>
      <c r="AC35" s="9">
        <f t="shared" si="2"/>
        <v>-6.0208985944452419E-2</v>
      </c>
      <c r="AD35" s="11">
        <f t="shared" si="3"/>
        <v>-231.8447352101048</v>
      </c>
    </row>
    <row r="36" spans="1:30" ht="16.5" thickTop="1" thickBot="1" x14ac:dyDescent="0.3">
      <c r="G36" s="30">
        <v>1.3756999999999999</v>
      </c>
      <c r="I36" s="1"/>
      <c r="J36" s="1"/>
      <c r="O36" s="6">
        <f t="shared" si="15"/>
        <v>39</v>
      </c>
      <c r="P36" s="7">
        <f t="shared" ref="P36:P42" si="16">O36/661</f>
        <v>5.9001512859304085E-2</v>
      </c>
      <c r="Q36" s="8">
        <f t="shared" ref="Q36:Q42" si="17">1481*P36^2</f>
        <v>5.155625387655892</v>
      </c>
      <c r="R36" s="9">
        <f t="shared" ref="R36:R42" si="18">IF(W36&lt;1,"",$P$10/Q36/$P$13)</f>
        <v>0.43797305471541559</v>
      </c>
      <c r="S36" s="9">
        <f t="shared" ref="S36:S42" si="19">IF(W36&lt;1,"",R36^2/(PI()*$P$12)+$P$11)</f>
        <v>7.1107666865712543E-2</v>
      </c>
      <c r="T36" s="8">
        <f t="shared" ref="T36:T42" si="20">IF(S36="","",Q36*S36*$P$13)</f>
        <v>1.8330224627492262</v>
      </c>
      <c r="U36" s="8">
        <f t="shared" si="0"/>
        <v>1.9635999999999998</v>
      </c>
      <c r="V36" s="8">
        <f t="shared" ref="V36:V42" si="21">IF(S36="","",(U36-T36)/$P$10)</f>
        <v>1.1565641412364663E-2</v>
      </c>
      <c r="W36" s="10">
        <f t="shared" ref="W36:W42" si="22">P36/$U$9</f>
        <v>1.4753623384171322</v>
      </c>
      <c r="X36" s="8">
        <f t="shared" ref="X36:X42" si="23">IF(W36&lt;1,"",R36/S36)</f>
        <v>6.1592944055179251</v>
      </c>
      <c r="Y36" s="9">
        <f t="shared" ref="Y36:Y42" si="24">IF(W36&lt;1,"",X36*P36)</f>
        <v>0.36340768807140555</v>
      </c>
      <c r="Z36" s="11">
        <f t="shared" ref="Z36:Z42" si="25">O36-$U$10</f>
        <v>12.56581567491968</v>
      </c>
      <c r="AA36" s="11">
        <f t="shared" ref="AA36:AA42" si="26">IF(W36&lt;1,"",V36*O36/60*6080)</f>
        <v>45.70741486166515</v>
      </c>
      <c r="AB36" s="8">
        <f t="shared" ref="AB36:AB42" si="27">IF(W36&lt;1,"",W36^2)</f>
        <v>2.1766940296196684</v>
      </c>
      <c r="AC36" s="9">
        <f t="shared" ref="AC36:AC42" si="28">IF(W36&lt;1,"",(U36-(Q36*$P$13*($P$11+$P$8^2/(PI()*$P$12))))/$P$10)</f>
        <v>-7.5287434967963238E-2</v>
      </c>
      <c r="AD36" s="11">
        <f t="shared" ref="AD36:AD42" si="29">IF(W36&lt;1,"",AC36*O36*6080/60)</f>
        <v>-297.53594299339073</v>
      </c>
    </row>
    <row r="37" spans="1:30" ht="15.75" thickTop="1" x14ac:dyDescent="0.25">
      <c r="I37" s="1"/>
      <c r="J37" s="1"/>
      <c r="O37" s="6">
        <f t="shared" si="15"/>
        <v>40</v>
      </c>
      <c r="P37" s="7">
        <f t="shared" si="16"/>
        <v>6.0514372163388806E-2</v>
      </c>
      <c r="Q37" s="8">
        <f t="shared" si="17"/>
        <v>5.4234060619654354</v>
      </c>
      <c r="R37" s="9">
        <f t="shared" si="18"/>
        <v>0.41634813513884195</v>
      </c>
      <c r="S37" s="9">
        <f t="shared" si="19"/>
        <v>7.0127557461540826E-2</v>
      </c>
      <c r="T37" s="8">
        <f t="shared" si="20"/>
        <v>1.9016511012387496</v>
      </c>
      <c r="U37" s="8">
        <f t="shared" si="0"/>
        <v>1.9353999999999998</v>
      </c>
      <c r="V37" s="8">
        <f t="shared" si="21"/>
        <v>2.9892404877049812E-3</v>
      </c>
      <c r="W37" s="10">
        <f t="shared" si="22"/>
        <v>1.5131921419662893</v>
      </c>
      <c r="X37" s="8">
        <f t="shared" si="23"/>
        <v>5.9370117855191875</v>
      </c>
      <c r="Y37" s="9">
        <f t="shared" si="24"/>
        <v>0.35927454072733361</v>
      </c>
      <c r="Z37" s="11">
        <f t="shared" si="25"/>
        <v>13.56581567491968</v>
      </c>
      <c r="AA37" s="11">
        <f t="shared" si="26"/>
        <v>12.116388110164191</v>
      </c>
      <c r="AB37" s="8">
        <f t="shared" si="27"/>
        <v>2.2897504585085264</v>
      </c>
      <c r="AC37" s="9">
        <f t="shared" si="28"/>
        <v>-9.0729004617159534E-2</v>
      </c>
      <c r="AD37" s="11">
        <f t="shared" si="29"/>
        <v>-367.75489871488668</v>
      </c>
    </row>
    <row r="38" spans="1:30" x14ac:dyDescent="0.25">
      <c r="A38" s="1" t="s">
        <v>55</v>
      </c>
      <c r="B38" s="1">
        <f>B29+B30</f>
        <v>5.87</v>
      </c>
      <c r="C38" s="1" t="s">
        <v>54</v>
      </c>
      <c r="I38" s="1"/>
      <c r="J38" s="1"/>
      <c r="O38" s="6">
        <f t="shared" si="15"/>
        <v>41</v>
      </c>
      <c r="P38" s="7">
        <f t="shared" si="16"/>
        <v>6.2027231467473527E-2</v>
      </c>
      <c r="Q38" s="8">
        <f t="shared" si="17"/>
        <v>5.6979659938524359</v>
      </c>
      <c r="R38" s="9">
        <f t="shared" si="18"/>
        <v>0.39628614885315117</v>
      </c>
      <c r="S38" s="9">
        <f t="shared" si="19"/>
        <v>6.9262653379524725E-2</v>
      </c>
      <c r="T38" s="8">
        <f t="shared" si="20"/>
        <v>1.9732812180026018</v>
      </c>
      <c r="U38" s="8">
        <f t="shared" si="0"/>
        <v>1.9067999999999998</v>
      </c>
      <c r="V38" s="8">
        <f t="shared" si="21"/>
        <v>-5.8884394993502717E-3</v>
      </c>
      <c r="W38" s="10">
        <f t="shared" si="22"/>
        <v>1.5510219455154466</v>
      </c>
      <c r="X38" s="8">
        <f t="shared" si="23"/>
        <v>5.7214982319793775</v>
      </c>
      <c r="Y38" s="9">
        <f t="shared" si="24"/>
        <v>0.35488869517572541</v>
      </c>
      <c r="Z38" s="11">
        <f t="shared" si="25"/>
        <v>14.56581567491968</v>
      </c>
      <c r="AA38" s="11">
        <f t="shared" si="26"/>
        <v>-24.464503306633933</v>
      </c>
      <c r="AB38" s="8">
        <f t="shared" si="27"/>
        <v>2.405669075470521</v>
      </c>
      <c r="AC38" s="9">
        <f t="shared" si="28"/>
        <v>-0.10653369489204122</v>
      </c>
      <c r="AD38" s="11">
        <f t="shared" si="29"/>
        <v>-442.61199104480056</v>
      </c>
    </row>
    <row r="39" spans="1:30" x14ac:dyDescent="0.25">
      <c r="A39" s="1" t="s">
        <v>56</v>
      </c>
      <c r="B39" s="1">
        <f>B38+B31*B32/16</f>
        <v>9.9601249999999997</v>
      </c>
      <c r="C39" s="1" t="s">
        <v>54</v>
      </c>
      <c r="I39" s="1"/>
      <c r="J39" s="1"/>
      <c r="O39" s="6">
        <f t="shared" si="15"/>
        <v>42</v>
      </c>
      <c r="P39" s="7">
        <f t="shared" si="16"/>
        <v>6.3540090771558241E-2</v>
      </c>
      <c r="Q39" s="8">
        <f t="shared" si="17"/>
        <v>5.9793051833168924</v>
      </c>
      <c r="R39" s="9">
        <f t="shared" si="18"/>
        <v>0.37764003187196554</v>
      </c>
      <c r="S39" s="9">
        <f t="shared" si="19"/>
        <v>6.8497080006832523E-2</v>
      </c>
      <c r="T39" s="8">
        <f t="shared" si="20"/>
        <v>2.047824727634628</v>
      </c>
      <c r="U39" s="8">
        <f t="shared" si="0"/>
        <v>1.8777999999999999</v>
      </c>
      <c r="V39" s="8">
        <f t="shared" si="21"/>
        <v>-1.5059596562006892E-2</v>
      </c>
      <c r="W39" s="10">
        <f t="shared" si="22"/>
        <v>1.5888517490646037</v>
      </c>
      <c r="X39" s="8">
        <f t="shared" si="23"/>
        <v>5.5132281819063857</v>
      </c>
      <c r="Y39" s="9">
        <f t="shared" si="24"/>
        <v>0.35031101912264478</v>
      </c>
      <c r="Z39" s="11">
        <f t="shared" si="25"/>
        <v>15.56581567491968</v>
      </c>
      <c r="AA39" s="11">
        <f t="shared" si="26"/>
        <v>-64.093642967901332</v>
      </c>
      <c r="AB39" s="8">
        <f t="shared" si="27"/>
        <v>2.5244498805056503</v>
      </c>
      <c r="AC39" s="9">
        <f t="shared" si="28"/>
        <v>-0.12270150579260831</v>
      </c>
      <c r="AD39" s="11">
        <f t="shared" si="29"/>
        <v>-522.21760865334102</v>
      </c>
    </row>
    <row r="40" spans="1:30" x14ac:dyDescent="0.25">
      <c r="A40" s="1" t="s">
        <v>57</v>
      </c>
      <c r="B40" s="1">
        <f>B31*B32/16+B38+B33*B34/16</f>
        <v>11.960125</v>
      </c>
      <c r="C40" s="1" t="s">
        <v>54</v>
      </c>
      <c r="D40" s="79" t="s">
        <v>159</v>
      </c>
      <c r="I40" s="1"/>
      <c r="J40" s="1"/>
      <c r="O40" s="6">
        <f t="shared" si="15"/>
        <v>43</v>
      </c>
      <c r="P40" s="7">
        <f t="shared" si="16"/>
        <v>6.5052950075642962E-2</v>
      </c>
      <c r="Q40" s="8">
        <f t="shared" si="17"/>
        <v>6.267423630358806</v>
      </c>
      <c r="R40" s="9">
        <f t="shared" si="18"/>
        <v>0.36027961937379516</v>
      </c>
      <c r="S40" s="9">
        <f t="shared" si="19"/>
        <v>6.7817457123966932E-2</v>
      </c>
      <c r="T40" s="8">
        <f t="shared" si="20"/>
        <v>2.1252036666479777</v>
      </c>
      <c r="U40" s="8">
        <f t="shared" si="0"/>
        <v>1.8483999999999998</v>
      </c>
      <c r="V40" s="8">
        <f t="shared" si="21"/>
        <v>-2.4517325242012632E-2</v>
      </c>
      <c r="W40" s="10">
        <f t="shared" si="22"/>
        <v>1.6266815526137608</v>
      </c>
      <c r="X40" s="8">
        <f t="shared" si="23"/>
        <v>5.3124908342585302</v>
      </c>
      <c r="Y40" s="9">
        <f t="shared" si="24"/>
        <v>0.34559320101833102</v>
      </c>
      <c r="Z40" s="11">
        <f t="shared" si="25"/>
        <v>16.56581567491968</v>
      </c>
      <c r="AA40" s="11">
        <f t="shared" si="26"/>
        <v>-106.83015852119637</v>
      </c>
      <c r="AB40" s="8">
        <f t="shared" si="27"/>
        <v>2.6460928736139153</v>
      </c>
      <c r="AC40" s="9">
        <f t="shared" si="28"/>
        <v>-0.13923243731886087</v>
      </c>
      <c r="AD40" s="11">
        <f t="shared" si="29"/>
        <v>-606.6821402107164</v>
      </c>
    </row>
    <row r="41" spans="1:30" x14ac:dyDescent="0.25">
      <c r="D41" s="79"/>
      <c r="I41" s="1"/>
      <c r="J41" s="1"/>
      <c r="O41" s="6">
        <f t="shared" si="15"/>
        <v>44</v>
      </c>
      <c r="P41" s="7">
        <f t="shared" si="16"/>
        <v>6.6565809379727683E-2</v>
      </c>
      <c r="Q41" s="8">
        <f t="shared" si="17"/>
        <v>6.5623213349781757</v>
      </c>
      <c r="R41" s="9">
        <f t="shared" si="18"/>
        <v>0.34408936788334055</v>
      </c>
      <c r="S41" s="9">
        <f t="shared" si="19"/>
        <v>6.7212460852795419E-2</v>
      </c>
      <c r="T41" s="8">
        <f t="shared" si="20"/>
        <v>2.205348829153424</v>
      </c>
      <c r="U41" s="8">
        <f t="shared" si="0"/>
        <v>1.8185999999999998</v>
      </c>
      <c r="V41" s="8">
        <f t="shared" si="21"/>
        <v>-3.4255495767622081E-2</v>
      </c>
      <c r="W41" s="10">
        <f t="shared" si="22"/>
        <v>1.6645113561629181</v>
      </c>
      <c r="X41" s="8">
        <f t="shared" si="23"/>
        <v>5.1194282059831711</v>
      </c>
      <c r="Y41" s="9">
        <f t="shared" si="24"/>
        <v>0.34077888209267704</v>
      </c>
      <c r="Z41" s="11">
        <f t="shared" si="25"/>
        <v>17.56581567491968</v>
      </c>
      <c r="AA41" s="11">
        <f t="shared" si="26"/>
        <v>-152.73383712923766</v>
      </c>
      <c r="AB41" s="8">
        <f t="shared" si="27"/>
        <v>2.7705980547953168</v>
      </c>
      <c r="AC41" s="9">
        <f t="shared" si="28"/>
        <v>-0.15612648947079885</v>
      </c>
      <c r="AD41" s="11">
        <f t="shared" si="29"/>
        <v>-696.11597438713522</v>
      </c>
    </row>
    <row r="42" spans="1:30" x14ac:dyDescent="0.25">
      <c r="I42" s="1"/>
      <c r="J42" s="1"/>
      <c r="O42" s="6">
        <f t="shared" si="15"/>
        <v>45</v>
      </c>
      <c r="P42" s="7">
        <f t="shared" si="16"/>
        <v>6.8078668683812404E-2</v>
      </c>
      <c r="Q42" s="8">
        <f t="shared" si="17"/>
        <v>6.8639982971750042</v>
      </c>
      <c r="R42" s="9">
        <f t="shared" si="18"/>
        <v>0.32896642776402329</v>
      </c>
      <c r="S42" s="9">
        <f t="shared" si="19"/>
        <v>6.6672470280237484E-2</v>
      </c>
      <c r="T42" s="8">
        <f t="shared" si="20"/>
        <v>2.2881986123600058</v>
      </c>
      <c r="U42" s="8">
        <f t="shared" si="0"/>
        <v>1.7883999999999998</v>
      </c>
      <c r="V42" s="8">
        <f t="shared" si="21"/>
        <v>-4.4268651796149819E-2</v>
      </c>
      <c r="W42" s="10">
        <f t="shared" si="22"/>
        <v>1.7023411597120754</v>
      </c>
      <c r="X42" s="8">
        <f t="shared" si="23"/>
        <v>4.9340668851973355</v>
      </c>
      <c r="Y42" s="9">
        <f t="shared" si="24"/>
        <v>0.33590470474111966</v>
      </c>
      <c r="Z42" s="11">
        <f t="shared" si="25"/>
        <v>18.56581567491968</v>
      </c>
      <c r="AA42" s="11">
        <f t="shared" si="26"/>
        <v>-201.86505219044315</v>
      </c>
      <c r="AB42" s="8">
        <f t="shared" si="27"/>
        <v>2.897965424049854</v>
      </c>
      <c r="AC42" s="9">
        <f t="shared" si="28"/>
        <v>-0.17338366224842225</v>
      </c>
      <c r="AD42" s="11">
        <f t="shared" si="29"/>
        <v>-790.62949985280545</v>
      </c>
    </row>
    <row r="43" spans="1:30" x14ac:dyDescent="0.25">
      <c r="A43" s="1" t="s">
        <v>63</v>
      </c>
      <c r="B43" s="1">
        <f>J12</f>
        <v>41</v>
      </c>
      <c r="C43" s="1" t="s">
        <v>50</v>
      </c>
      <c r="I43" s="1"/>
      <c r="J43" s="1"/>
      <c r="O43" s="6">
        <f t="shared" si="15"/>
        <v>46</v>
      </c>
      <c r="P43" s="7">
        <f t="shared" ref="P43:P66" si="30">O43/661</f>
        <v>6.9591527987897125E-2</v>
      </c>
      <c r="Q43" s="8">
        <f t="shared" ref="Q43:Q66" si="31">1481*P43^2</f>
        <v>7.1724545169492888</v>
      </c>
      <c r="R43" s="9">
        <f t="shared" ref="R43:R66" si="32">IF(W43&lt;1,"",$P$10/Q43/$P$13)</f>
        <v>0.31481900577606198</v>
      </c>
      <c r="S43" s="9">
        <f t="shared" ref="S43:S66" si="33">IF(W43&lt;1,"",R43^2/(PI()*$P$12)+$P$11)</f>
        <v>6.6189280955464752E-2</v>
      </c>
      <c r="T43" s="8">
        <f t="shared" ref="T43:T66" si="34">IF(S43="","",Q43*S43*$P$13)</f>
        <v>2.3736980358132436</v>
      </c>
      <c r="U43" s="8">
        <f t="shared" si="0"/>
        <v>1.7577999999999998</v>
      </c>
      <c r="V43" s="8">
        <f t="shared" ref="V43:V66" si="35">IF(S43="","",(U43-T43)/$P$10)</f>
        <v>-5.4551923544977912E-2</v>
      </c>
      <c r="W43" s="10">
        <f t="shared" ref="W43:W66" si="36">P43/$U$9</f>
        <v>1.7401709632612326</v>
      </c>
      <c r="X43" s="8">
        <f t="shared" ref="X43:X66" si="37">IF(W43&lt;1,"",R43/S43)</f>
        <v>4.7563442483668457</v>
      </c>
      <c r="Y43" s="9">
        <f t="shared" ref="Y43:Y66" si="38">IF(W43&lt;1,"",X43*P43)</f>
        <v>0.33100126388029488</v>
      </c>
      <c r="Z43" s="11">
        <f t="shared" ref="Z43:Z66" si="39">O43-$U$10</f>
        <v>19.56581567491968</v>
      </c>
      <c r="AA43" s="11">
        <f t="shared" ref="AA43:AA66" si="40">IF(W43&lt;1,"",V43*O43/60*6080)</f>
        <v>-254.28469961765703</v>
      </c>
      <c r="AB43" s="8">
        <f t="shared" ref="AB43:AB66" si="41">IF(W43&lt;1,"",W43^2)</f>
        <v>3.028194981377526</v>
      </c>
      <c r="AC43" s="9">
        <f t="shared" ref="AC43:AC66" si="42">IF(W43&lt;1,"",(U43-(Q43*$P$13*($P$11+$P$8^2/(PI()*$P$12))))/$P$10)</f>
        <v>-0.19100395565173103</v>
      </c>
      <c r="AD43" s="11">
        <f t="shared" ref="AD43:AD66" si="43">IF(W43&lt;1,"",AC43*O43*6080/60)</f>
        <v>-890.3331052779356</v>
      </c>
    </row>
    <row r="44" spans="1:30" x14ac:dyDescent="0.25">
      <c r="A44" s="1" t="s">
        <v>64</v>
      </c>
      <c r="B44" s="1">
        <f>50/B43*30</f>
        <v>36.585365853658537</v>
      </c>
      <c r="C44" s="1" t="s">
        <v>65</v>
      </c>
      <c r="E44" s="1" t="s">
        <v>74</v>
      </c>
      <c r="F44">
        <v>16</v>
      </c>
      <c r="G44" t="s">
        <v>81</v>
      </c>
      <c r="I44" s="1"/>
      <c r="J44" s="1"/>
      <c r="O44" s="6">
        <f t="shared" si="15"/>
        <v>47</v>
      </c>
      <c r="P44" s="7">
        <f t="shared" si="30"/>
        <v>7.1104387291981846E-2</v>
      </c>
      <c r="Q44" s="8">
        <f t="shared" si="31"/>
        <v>7.4876899943010287</v>
      </c>
      <c r="R44" s="9">
        <f t="shared" si="32"/>
        <v>0.30156496886471129</v>
      </c>
      <c r="S44" s="9">
        <f t="shared" si="33"/>
        <v>6.5755871490251888E-2</v>
      </c>
      <c r="T44" s="8">
        <f t="shared" si="34"/>
        <v>2.4617979051205165</v>
      </c>
      <c r="U44" s="8">
        <f t="shared" si="0"/>
        <v>1.7267999999999999</v>
      </c>
      <c r="V44" s="8">
        <f t="shared" si="35"/>
        <v>-6.510095372022158E-2</v>
      </c>
      <c r="W44" s="10">
        <f t="shared" si="36"/>
        <v>1.7780007668103899</v>
      </c>
      <c r="X44" s="8">
        <f t="shared" si="37"/>
        <v>4.5861299079492452</v>
      </c>
      <c r="Y44" s="9">
        <f t="shared" si="38"/>
        <v>0.32609395714616418</v>
      </c>
      <c r="Z44" s="11">
        <f t="shared" si="39"/>
        <v>20.56581567491968</v>
      </c>
      <c r="AA44" s="11">
        <f t="shared" si="40"/>
        <v>-310.05414225150867</v>
      </c>
      <c r="AB44" s="8">
        <f t="shared" si="41"/>
        <v>3.1612867267783344</v>
      </c>
      <c r="AC44" s="9">
        <f t="shared" si="42"/>
        <v>-0.20898736968072523</v>
      </c>
      <c r="AD44" s="11">
        <f t="shared" si="43"/>
        <v>-995.33717933273408</v>
      </c>
    </row>
    <row r="45" spans="1:30" x14ac:dyDescent="0.25">
      <c r="A45" s="1" t="s">
        <v>66</v>
      </c>
      <c r="B45" s="1">
        <f>B44*3</f>
        <v>109.7560975609756</v>
      </c>
      <c r="C45" s="1" t="s">
        <v>65</v>
      </c>
      <c r="E45" s="1" t="s">
        <v>74</v>
      </c>
      <c r="F45">
        <v>80</v>
      </c>
      <c r="G45" t="s">
        <v>65</v>
      </c>
      <c r="I45" s="1"/>
      <c r="J45" s="1"/>
      <c r="O45" s="6">
        <f t="shared" si="15"/>
        <v>48</v>
      </c>
      <c r="P45" s="7">
        <f t="shared" si="30"/>
        <v>7.2617246596066568E-2</v>
      </c>
      <c r="Q45" s="8">
        <f t="shared" si="31"/>
        <v>7.8097047292302264</v>
      </c>
      <c r="R45" s="9">
        <f t="shared" si="32"/>
        <v>0.28913064940197364</v>
      </c>
      <c r="S45" s="9">
        <f t="shared" si="33"/>
        <v>6.5366212547975464E-2</v>
      </c>
      <c r="T45" s="8">
        <f t="shared" si="34"/>
        <v>2.5524540963389608</v>
      </c>
      <c r="U45" s="8">
        <f t="shared" si="0"/>
        <v>1.6953999999999998</v>
      </c>
      <c r="V45" s="8">
        <f t="shared" si="35"/>
        <v>-7.5911834132833866E-2</v>
      </c>
      <c r="W45" s="10">
        <f t="shared" si="36"/>
        <v>1.8158305703595472</v>
      </c>
      <c r="X45" s="8">
        <f t="shared" si="37"/>
        <v>4.4232431118716953</v>
      </c>
      <c r="Y45" s="9">
        <f t="shared" si="38"/>
        <v>0.32120373580913975</v>
      </c>
      <c r="Z45" s="11">
        <f t="shared" si="39"/>
        <v>21.56581567491968</v>
      </c>
      <c r="AA45" s="11">
        <f t="shared" si="40"/>
        <v>-369.2351612221039</v>
      </c>
      <c r="AB45" s="8">
        <f t="shared" si="41"/>
        <v>3.2972406602522786</v>
      </c>
      <c r="AC45" s="9">
        <f t="shared" si="42"/>
        <v>-0.22733390433540496</v>
      </c>
      <c r="AD45" s="11">
        <f t="shared" si="43"/>
        <v>-1105.7521106874096</v>
      </c>
    </row>
    <row r="46" spans="1:30" x14ac:dyDescent="0.25">
      <c r="I46" s="1"/>
      <c r="J46" s="1"/>
      <c r="O46" s="6">
        <f t="shared" si="15"/>
        <v>49</v>
      </c>
      <c r="P46" s="7">
        <f t="shared" si="30"/>
        <v>7.4130105900151289E-2</v>
      </c>
      <c r="Q46" s="8">
        <f t="shared" si="31"/>
        <v>8.138498721736882</v>
      </c>
      <c r="R46" s="9">
        <f t="shared" si="32"/>
        <v>0.2774498193345053</v>
      </c>
      <c r="S46" s="9">
        <f t="shared" si="33"/>
        <v>6.5015109837524065E-2</v>
      </c>
      <c r="T46" s="8">
        <f t="shared" si="34"/>
        <v>2.6456269415313627</v>
      </c>
      <c r="U46" s="8">
        <f t="shared" si="0"/>
        <v>1.6635999999999997</v>
      </c>
      <c r="V46" s="8">
        <f t="shared" si="35"/>
        <v>-8.6981051275460894E-2</v>
      </c>
      <c r="W46" s="10">
        <f t="shared" si="36"/>
        <v>1.8536603739087045</v>
      </c>
      <c r="X46" s="8">
        <f t="shared" si="37"/>
        <v>4.2674667477739554</v>
      </c>
      <c r="Y46" s="9">
        <f t="shared" si="38"/>
        <v>0.31634776193785752</v>
      </c>
      <c r="Z46" s="11">
        <f t="shared" si="39"/>
        <v>22.56581567491968</v>
      </c>
      <c r="AA46" s="11">
        <f t="shared" si="40"/>
        <v>-431.88991326642184</v>
      </c>
      <c r="AB46" s="8">
        <f t="shared" si="41"/>
        <v>3.4360567817993584</v>
      </c>
      <c r="AC46" s="9">
        <f t="shared" si="42"/>
        <v>-0.24604355961577004</v>
      </c>
      <c r="AD46" s="11">
        <f t="shared" si="43"/>
        <v>-1221.6882880121702</v>
      </c>
    </row>
    <row r="47" spans="1:30" x14ac:dyDescent="0.25">
      <c r="A47" s="1" t="s">
        <v>67</v>
      </c>
      <c r="B47" s="1">
        <f>J17</f>
        <v>40</v>
      </c>
      <c r="C47" s="1" t="s">
        <v>50</v>
      </c>
      <c r="E47" s="1" t="s">
        <v>74</v>
      </c>
      <c r="F47">
        <f>7*8</f>
        <v>56</v>
      </c>
      <c r="G47" t="s">
        <v>214</v>
      </c>
      <c r="I47" s="1"/>
      <c r="J47" s="1"/>
      <c r="O47" s="6">
        <f t="shared" si="15"/>
        <v>50</v>
      </c>
      <c r="P47" s="7">
        <f t="shared" si="30"/>
        <v>7.564296520423601E-2</v>
      </c>
      <c r="Q47" s="8">
        <f t="shared" si="31"/>
        <v>8.4740719718209938</v>
      </c>
      <c r="R47" s="9">
        <f t="shared" si="32"/>
        <v>0.26646280648885884</v>
      </c>
      <c r="S47" s="9">
        <f t="shared" si="33"/>
        <v>6.4698074516813836E-2</v>
      </c>
      <c r="T47" s="8">
        <f t="shared" si="34"/>
        <v>2.7412806994685912</v>
      </c>
      <c r="U47" s="8">
        <f t="shared" si="0"/>
        <v>1.6313999999999997</v>
      </c>
      <c r="V47" s="8">
        <f t="shared" si="35"/>
        <v>-9.8305439440979747E-2</v>
      </c>
      <c r="W47" s="10">
        <f t="shared" si="36"/>
        <v>1.8914901774578616</v>
      </c>
      <c r="X47" s="8">
        <f t="shared" si="37"/>
        <v>4.1185585271105722</v>
      </c>
      <c r="Y47" s="9">
        <f t="shared" si="38"/>
        <v>0.31153997935783451</v>
      </c>
      <c r="Z47" s="11">
        <f t="shared" si="39"/>
        <v>23.56581567491968</v>
      </c>
      <c r="AA47" s="11">
        <f t="shared" si="40"/>
        <v>-498.08089316763073</v>
      </c>
      <c r="AB47" s="8">
        <f t="shared" si="41"/>
        <v>3.5777350914195729</v>
      </c>
      <c r="AC47" s="9">
        <f t="shared" si="42"/>
        <v>-0.26511633552182051</v>
      </c>
      <c r="AD47" s="11">
        <f t="shared" si="43"/>
        <v>-1343.256099977224</v>
      </c>
    </row>
    <row r="48" spans="1:30" x14ac:dyDescent="0.25">
      <c r="A48" s="1" t="s">
        <v>64</v>
      </c>
      <c r="B48" s="1">
        <f>30*50/B47</f>
        <v>37.5</v>
      </c>
      <c r="C48" s="1" t="s">
        <v>65</v>
      </c>
      <c r="E48" s="1" t="s">
        <v>74</v>
      </c>
      <c r="F48">
        <v>60</v>
      </c>
      <c r="G48" t="s">
        <v>81</v>
      </c>
      <c r="I48" s="1"/>
      <c r="J48" s="1"/>
      <c r="O48" s="6">
        <f t="shared" si="15"/>
        <v>51</v>
      </c>
      <c r="P48" s="7">
        <f t="shared" si="30"/>
        <v>7.7155824508320731E-2</v>
      </c>
      <c r="Q48" s="8">
        <f t="shared" si="31"/>
        <v>8.8164244794825617</v>
      </c>
      <c r="R48" s="9">
        <f t="shared" si="32"/>
        <v>0.2561157309581496</v>
      </c>
      <c r="S48" s="9">
        <f t="shared" si="33"/>
        <v>6.4411215790794021E-2</v>
      </c>
      <c r="T48" s="8">
        <f t="shared" si="34"/>
        <v>2.8393830982559507</v>
      </c>
      <c r="U48" s="8">
        <f t="shared" ref="U48:U68" si="44">$P$9*($G$34*O48^2+$G$35*O48+$G$36)</f>
        <v>1.5987999999999998</v>
      </c>
      <c r="V48" s="8">
        <f t="shared" si="35"/>
        <v>-0.10988214021155221</v>
      </c>
      <c r="W48" s="10">
        <f t="shared" si="36"/>
        <v>1.929319981007019</v>
      </c>
      <c r="X48" s="8">
        <f t="shared" si="37"/>
        <v>3.976259845645624</v>
      </c>
      <c r="Y48" s="9">
        <f t="shared" si="38"/>
        <v>0.30679160685011625</v>
      </c>
      <c r="Z48" s="11">
        <f t="shared" si="39"/>
        <v>24.56581567491968</v>
      </c>
      <c r="AA48" s="11">
        <f t="shared" si="40"/>
        <v>-567.87090061330184</v>
      </c>
      <c r="AB48" s="8">
        <f t="shared" si="41"/>
        <v>3.722275589112924</v>
      </c>
      <c r="AC48" s="9">
        <f t="shared" si="42"/>
        <v>-0.28455223205355656</v>
      </c>
      <c r="AD48" s="11">
        <f t="shared" si="43"/>
        <v>-1470.5659352527803</v>
      </c>
    </row>
    <row r="49" spans="1:30" x14ac:dyDescent="0.25">
      <c r="A49" s="1" t="s">
        <v>68</v>
      </c>
      <c r="B49" s="1">
        <f>INT(600/B48)</f>
        <v>16</v>
      </c>
      <c r="C49" s="1" t="s">
        <v>69</v>
      </c>
      <c r="E49" s="1" t="s">
        <v>74</v>
      </c>
      <c r="F49">
        <v>23</v>
      </c>
      <c r="G49" t="s">
        <v>69</v>
      </c>
      <c r="I49" s="1"/>
      <c r="J49" s="1"/>
      <c r="O49" s="6">
        <f t="shared" si="15"/>
        <v>52</v>
      </c>
      <c r="P49" s="7">
        <f t="shared" si="30"/>
        <v>7.8668683812405452E-2</v>
      </c>
      <c r="Q49" s="8">
        <f t="shared" si="31"/>
        <v>9.1655562447215857</v>
      </c>
      <c r="R49" s="9">
        <f t="shared" si="32"/>
        <v>0.2463598432774213</v>
      </c>
      <c r="S49" s="9">
        <f t="shared" si="33"/>
        <v>6.4151151559840427E-2</v>
      </c>
      <c r="T49" s="8">
        <f t="shared" si="34"/>
        <v>2.9399049389268814</v>
      </c>
      <c r="U49" s="8">
        <f t="shared" si="44"/>
        <v>1.5657999999999999</v>
      </c>
      <c r="V49" s="8">
        <f t="shared" si="35"/>
        <v>-0.12170856734773809</v>
      </c>
      <c r="W49" s="10">
        <f t="shared" si="36"/>
        <v>1.9671497845561763</v>
      </c>
      <c r="X49" s="8">
        <f t="shared" si="37"/>
        <v>3.840302742618984</v>
      </c>
      <c r="Y49" s="9">
        <f t="shared" si="38"/>
        <v>0.30211156220300633</v>
      </c>
      <c r="Z49" s="11">
        <f t="shared" si="39"/>
        <v>25.56581567491968</v>
      </c>
      <c r="AA49" s="11">
        <f t="shared" si="40"/>
        <v>-641.32301087768121</v>
      </c>
      <c r="AB49" s="8">
        <f t="shared" si="41"/>
        <v>3.8696782748794107</v>
      </c>
      <c r="AC49" s="9">
        <f t="shared" si="42"/>
        <v>-0.30435124921097784</v>
      </c>
      <c r="AD49" s="11">
        <f t="shared" si="43"/>
        <v>-1603.7281825090461</v>
      </c>
    </row>
    <row r="50" spans="1:30" x14ac:dyDescent="0.25">
      <c r="I50" s="1"/>
      <c r="J50" s="1"/>
      <c r="O50" s="6">
        <f t="shared" si="15"/>
        <v>53</v>
      </c>
      <c r="P50" s="7">
        <f t="shared" si="30"/>
        <v>8.0181543116490173E-2</v>
      </c>
      <c r="Q50" s="8">
        <f t="shared" si="31"/>
        <v>9.5214672675380694</v>
      </c>
      <c r="R50" s="9">
        <f t="shared" si="32"/>
        <v>0.23715094917128768</v>
      </c>
      <c r="S50" s="9">
        <f t="shared" si="33"/>
        <v>6.3914933809917474E-2</v>
      </c>
      <c r="T50" s="8">
        <f t="shared" si="34"/>
        <v>3.0428197508899575</v>
      </c>
      <c r="U50" s="8">
        <f t="shared" si="44"/>
        <v>1.5323999999999998</v>
      </c>
      <c r="V50" s="8">
        <f t="shared" si="35"/>
        <v>-0.13378237627040956</v>
      </c>
      <c r="W50" s="10">
        <f t="shared" si="36"/>
        <v>2.0049795881053334</v>
      </c>
      <c r="X50" s="8">
        <f t="shared" si="37"/>
        <v>3.7104153135255182</v>
      </c>
      <c r="Y50" s="9">
        <f t="shared" si="38"/>
        <v>0.29750682544153173</v>
      </c>
      <c r="Z50" s="11">
        <f t="shared" si="39"/>
        <v>26.56581567491968</v>
      </c>
      <c r="AA50" s="11">
        <f t="shared" si="40"/>
        <v>-718.50054882294637</v>
      </c>
      <c r="AB50" s="8">
        <f t="shared" si="41"/>
        <v>4.0199431487190322</v>
      </c>
      <c r="AC50" s="9">
        <f t="shared" si="42"/>
        <v>-0.32451338699408472</v>
      </c>
      <c r="AD50" s="11">
        <f t="shared" si="43"/>
        <v>-1742.8532304162311</v>
      </c>
    </row>
    <row r="51" spans="1:30" x14ac:dyDescent="0.25">
      <c r="A51" s="1" t="s">
        <v>70</v>
      </c>
      <c r="B51" s="1">
        <f>12*U13</f>
        <v>65.726706900619931</v>
      </c>
      <c r="C51" s="1" t="s">
        <v>73</v>
      </c>
      <c r="I51" s="1"/>
      <c r="J51" s="1"/>
      <c r="O51" s="6">
        <f t="shared" si="15"/>
        <v>54</v>
      </c>
      <c r="P51" s="7">
        <f t="shared" si="30"/>
        <v>8.169440242057488E-2</v>
      </c>
      <c r="Q51" s="8">
        <f t="shared" si="31"/>
        <v>9.8841575479320039</v>
      </c>
      <c r="R51" s="9">
        <f t="shared" si="32"/>
        <v>0.22844890816946067</v>
      </c>
      <c r="S51" s="9">
        <f t="shared" si="33"/>
        <v>6.3699986090942601E-2</v>
      </c>
      <c r="T51" s="8">
        <f t="shared" si="34"/>
        <v>3.1481034916197697</v>
      </c>
      <c r="U51" s="8">
        <f t="shared" si="44"/>
        <v>1.4985999999999997</v>
      </c>
      <c r="V51" s="8">
        <f t="shared" si="35"/>
        <v>-0.14610143746147805</v>
      </c>
      <c r="W51" s="10">
        <f t="shared" si="36"/>
        <v>2.0428093916544903</v>
      </c>
      <c r="X51" s="8">
        <f t="shared" si="37"/>
        <v>3.5863258720859195</v>
      </c>
      <c r="Y51" s="9">
        <f t="shared" si="38"/>
        <v>0.29298274900550625</v>
      </c>
      <c r="Z51" s="11">
        <f t="shared" si="39"/>
        <v>27.56581567491968</v>
      </c>
      <c r="AA51" s="11">
        <f t="shared" si="40"/>
        <v>-799.46706578920794</v>
      </c>
      <c r="AB51" s="8">
        <f t="shared" si="41"/>
        <v>4.1730702106317885</v>
      </c>
      <c r="AC51" s="9">
        <f t="shared" si="42"/>
        <v>-0.34503864540287671</v>
      </c>
      <c r="AD51" s="11">
        <f t="shared" si="43"/>
        <v>-1888.0514676445414</v>
      </c>
    </row>
    <row r="52" spans="1:30" x14ac:dyDescent="0.25">
      <c r="I52" s="1"/>
      <c r="J52" s="1"/>
      <c r="O52" s="6">
        <f t="shared" si="15"/>
        <v>55</v>
      </c>
      <c r="P52" s="7">
        <f t="shared" si="30"/>
        <v>8.3207261724659601E-2</v>
      </c>
      <c r="Q52" s="8">
        <f t="shared" si="31"/>
        <v>10.2536270859034</v>
      </c>
      <c r="R52" s="9">
        <f t="shared" si="32"/>
        <v>0.22021719544533794</v>
      </c>
      <c r="S52" s="9">
        <f t="shared" si="33"/>
        <v>6.3504050945871707E-2</v>
      </c>
      <c r="T52" s="8">
        <f t="shared" si="34"/>
        <v>3.2557342842158974</v>
      </c>
      <c r="U52" s="8">
        <f t="shared" si="44"/>
        <v>1.4643999999999999</v>
      </c>
      <c r="V52" s="8">
        <f t="shared" si="35"/>
        <v>-0.15866381321871081</v>
      </c>
      <c r="W52" s="10">
        <f t="shared" si="36"/>
        <v>2.0806391952036476</v>
      </c>
      <c r="X52" s="8">
        <f t="shared" si="37"/>
        <v>3.4677661057094169</v>
      </c>
      <c r="Y52" s="9">
        <f t="shared" si="38"/>
        <v>0.28854332195766702</v>
      </c>
      <c r="Z52" s="11">
        <f t="shared" si="39"/>
        <v>28.56581567491968</v>
      </c>
      <c r="AA52" s="11">
        <f t="shared" si="40"/>
        <v>-884.28631900561504</v>
      </c>
      <c r="AB52" s="8">
        <f t="shared" si="41"/>
        <v>4.3290594606176827</v>
      </c>
      <c r="AC52" s="9">
        <f t="shared" si="42"/>
        <v>-0.36592702443735436</v>
      </c>
      <c r="AD52" s="11">
        <f t="shared" si="43"/>
        <v>-2039.4332828641882</v>
      </c>
    </row>
    <row r="53" spans="1:30" x14ac:dyDescent="0.25">
      <c r="A53" s="1" t="s">
        <v>75</v>
      </c>
      <c r="B53" s="1">
        <v>1</v>
      </c>
      <c r="H53" s="1"/>
      <c r="I53" s="1"/>
      <c r="J53" s="1"/>
      <c r="O53" s="6">
        <f t="shared" si="15"/>
        <v>56</v>
      </c>
      <c r="P53" s="7">
        <f t="shared" si="30"/>
        <v>8.4720121028744322E-2</v>
      </c>
      <c r="Q53" s="8">
        <f t="shared" si="31"/>
        <v>10.629875881452252</v>
      </c>
      <c r="R53" s="9">
        <f t="shared" si="32"/>
        <v>0.21242251792798067</v>
      </c>
      <c r="S53" s="9">
        <f t="shared" si="33"/>
        <v>6.3325145561522925E-2</v>
      </c>
      <c r="T53" s="8">
        <f t="shared" si="34"/>
        <v>3.3656921874694286</v>
      </c>
      <c r="U53" s="8">
        <f t="shared" si="44"/>
        <v>1.4297999999999997</v>
      </c>
      <c r="V53" s="8">
        <f t="shared" si="35"/>
        <v>-0.17146773728983769</v>
      </c>
      <c r="W53" s="10">
        <f t="shared" si="36"/>
        <v>2.1184689987528049</v>
      </c>
      <c r="X53" s="8">
        <f t="shared" si="37"/>
        <v>3.3544734251199415</v>
      </c>
      <c r="Y53" s="9">
        <f t="shared" si="38"/>
        <v>0.28419139456386794</v>
      </c>
      <c r="Z53" s="11">
        <f t="shared" si="39"/>
        <v>29.56581567491968</v>
      </c>
      <c r="AA53" s="11">
        <f t="shared" si="40"/>
        <v>-973.02225320739899</v>
      </c>
      <c r="AB53" s="8">
        <f t="shared" si="41"/>
        <v>4.487910898676712</v>
      </c>
      <c r="AC53" s="9">
        <f t="shared" si="42"/>
        <v>-0.38717852409751741</v>
      </c>
      <c r="AD53" s="11">
        <f t="shared" si="43"/>
        <v>-2197.1090647453789</v>
      </c>
    </row>
    <row r="54" spans="1:30" x14ac:dyDescent="0.25">
      <c r="A54" s="1" t="s">
        <v>76</v>
      </c>
      <c r="B54" s="1">
        <f>2*((B31/B45)/(F44/F45))</f>
        <v>4.7377777777777776</v>
      </c>
      <c r="I54" s="1"/>
      <c r="J54" s="1"/>
      <c r="O54" s="6">
        <f t="shared" si="15"/>
        <v>57</v>
      </c>
      <c r="P54" s="7">
        <f t="shared" si="30"/>
        <v>8.6232980332829043E-2</v>
      </c>
      <c r="Q54" s="8">
        <f t="shared" si="31"/>
        <v>11.012903934578562</v>
      </c>
      <c r="R54" s="9">
        <f t="shared" si="32"/>
        <v>0.20503447713824169</v>
      </c>
      <c r="S54" s="9">
        <f t="shared" si="33"/>
        <v>6.3161524236949068E-2</v>
      </c>
      <c r="T54" s="8">
        <f t="shared" si="34"/>
        <v>3.4779589939153777</v>
      </c>
      <c r="U54" s="8">
        <f t="shared" si="44"/>
        <v>1.3947999999999998</v>
      </c>
      <c r="V54" s="8">
        <f t="shared" si="35"/>
        <v>-0.18451159698545214</v>
      </c>
      <c r="W54" s="10">
        <f t="shared" si="36"/>
        <v>2.1562988023019622</v>
      </c>
      <c r="X54" s="8">
        <f t="shared" si="37"/>
        <v>3.2461926721251908</v>
      </c>
      <c r="Y54" s="9">
        <f t="shared" si="38"/>
        <v>0.27992886885194534</v>
      </c>
      <c r="Z54" s="11">
        <f t="shared" si="39"/>
        <v>30.56581567491968</v>
      </c>
      <c r="AA54" s="11">
        <f t="shared" si="40"/>
        <v>-1065.7389841879715</v>
      </c>
      <c r="AB54" s="8">
        <f t="shared" si="41"/>
        <v>4.6496245248088766</v>
      </c>
      <c r="AC54" s="9">
        <f t="shared" si="42"/>
        <v>-0.40879314438336584</v>
      </c>
      <c r="AD54" s="11">
        <f t="shared" si="43"/>
        <v>-2361.1892019583215</v>
      </c>
    </row>
    <row r="55" spans="1:30" x14ac:dyDescent="0.25">
      <c r="A55" s="1" t="s">
        <v>77</v>
      </c>
      <c r="B55" s="1">
        <f>4*((B31*B33*B34*B49)/(F48*F47*F49))</f>
        <v>1.3780538302277432</v>
      </c>
      <c r="I55" s="1"/>
      <c r="J55" s="1"/>
      <c r="O55" s="6">
        <f t="shared" si="15"/>
        <v>58</v>
      </c>
      <c r="P55" s="7">
        <f t="shared" si="30"/>
        <v>8.7745839636913764E-2</v>
      </c>
      <c r="Q55" s="8">
        <f t="shared" si="31"/>
        <v>11.402711245282328</v>
      </c>
      <c r="R55" s="9">
        <f t="shared" si="32"/>
        <v>0.19802527236092365</v>
      </c>
      <c r="S55" s="9">
        <f t="shared" si="33"/>
        <v>6.3011646524524761E-2</v>
      </c>
      <c r="T55" s="8">
        <f t="shared" si="34"/>
        <v>3.5925180520447682</v>
      </c>
      <c r="U55" s="8">
        <f t="shared" si="44"/>
        <v>1.3593999999999999</v>
      </c>
      <c r="V55" s="8">
        <f t="shared" si="35"/>
        <v>-0.19779391743180597</v>
      </c>
      <c r="W55" s="10">
        <f t="shared" si="36"/>
        <v>2.1941286058511196</v>
      </c>
      <c r="X55" s="8">
        <f t="shared" si="37"/>
        <v>3.1426773189278627</v>
      </c>
      <c r="Y55" s="9">
        <f t="shared" si="38"/>
        <v>0.27575686005721034</v>
      </c>
      <c r="Z55" s="11">
        <f t="shared" si="39"/>
        <v>31.56581567491968</v>
      </c>
      <c r="AA55" s="11">
        <f t="shared" si="40"/>
        <v>-1162.5007840525343</v>
      </c>
      <c r="AB55" s="8">
        <f t="shared" si="41"/>
        <v>4.8142003390141772</v>
      </c>
      <c r="AC55" s="9">
        <f t="shared" si="42"/>
        <v>-0.43077088529489971</v>
      </c>
      <c r="AD55" s="11">
        <f t="shared" si="43"/>
        <v>-2531.7840831732242</v>
      </c>
    </row>
    <row r="56" spans="1:30" x14ac:dyDescent="0.25">
      <c r="I56" s="1"/>
      <c r="J56" s="1"/>
      <c r="O56" s="6">
        <f t="shared" si="15"/>
        <v>59</v>
      </c>
      <c r="P56" s="7">
        <f t="shared" si="30"/>
        <v>8.9258698940998485E-2</v>
      </c>
      <c r="Q56" s="8">
        <f t="shared" si="31"/>
        <v>11.799297813563552</v>
      </c>
      <c r="R56" s="9">
        <f t="shared" si="32"/>
        <v>0.19136943873086673</v>
      </c>
      <c r="S56" s="9">
        <f t="shared" si="33"/>
        <v>6.2874150106877622E-2</v>
      </c>
      <c r="T56" s="8">
        <f t="shared" si="34"/>
        <v>3.7093541094287383</v>
      </c>
      <c r="U56" s="8">
        <f t="shared" si="44"/>
        <v>1.3235999999999999</v>
      </c>
      <c r="V56" s="8">
        <f t="shared" si="35"/>
        <v>-0.21131334767584403</v>
      </c>
      <c r="W56" s="10">
        <f t="shared" si="36"/>
        <v>2.2319584094002765</v>
      </c>
      <c r="X56" s="8">
        <f t="shared" si="37"/>
        <v>3.0436902670742167</v>
      </c>
      <c r="Y56" s="9">
        <f t="shared" si="38"/>
        <v>0.27167583321842481</v>
      </c>
      <c r="Z56" s="11">
        <f t="shared" si="39"/>
        <v>32.565815674919676</v>
      </c>
      <c r="AA56" s="11">
        <f t="shared" si="40"/>
        <v>-1263.3720679713128</v>
      </c>
      <c r="AB56" s="8">
        <f t="shared" si="41"/>
        <v>4.9816383412926122</v>
      </c>
      <c r="AC56" s="9">
        <f t="shared" si="42"/>
        <v>-0.45311174683211919</v>
      </c>
      <c r="AD56" s="11">
        <f t="shared" si="43"/>
        <v>-2709.0040970602963</v>
      </c>
    </row>
    <row r="57" spans="1:30" x14ac:dyDescent="0.25">
      <c r="A57" s="1" t="s">
        <v>78</v>
      </c>
      <c r="B57" s="1">
        <f>(B29+B30)*B51</f>
        <v>385.81576950663901</v>
      </c>
      <c r="I57" s="1"/>
      <c r="J57" s="1"/>
      <c r="O57" s="6">
        <f t="shared" si="15"/>
        <v>60</v>
      </c>
      <c r="P57" s="7">
        <f t="shared" si="30"/>
        <v>9.0771558245083206E-2</v>
      </c>
      <c r="Q57" s="8">
        <f t="shared" si="31"/>
        <v>12.202663639422228</v>
      </c>
      <c r="R57" s="9">
        <f t="shared" si="32"/>
        <v>0.18504361561726312</v>
      </c>
      <c r="S57" s="9">
        <f t="shared" si="33"/>
        <v>6.2747827640217455E-2</v>
      </c>
      <c r="T57" s="8">
        <f t="shared" si="34"/>
        <v>3.8284531739900727</v>
      </c>
      <c r="U57" s="8">
        <f t="shared" si="44"/>
        <v>1.2873999999999999</v>
      </c>
      <c r="V57" s="8">
        <f t="shared" si="35"/>
        <v>-0.22506864839761057</v>
      </c>
      <c r="W57" s="10">
        <f t="shared" si="36"/>
        <v>2.2697882129494338</v>
      </c>
      <c r="X57" s="8">
        <f t="shared" si="37"/>
        <v>2.9490043333175358</v>
      </c>
      <c r="Y57" s="9">
        <f t="shared" si="38"/>
        <v>0.26768571860673546</v>
      </c>
      <c r="Z57" s="11">
        <f t="shared" si="39"/>
        <v>33.565815674919676</v>
      </c>
      <c r="AA57" s="11">
        <f t="shared" si="40"/>
        <v>-1368.4173822574721</v>
      </c>
      <c r="AB57" s="8">
        <f t="shared" si="41"/>
        <v>5.1519385316441841</v>
      </c>
      <c r="AC57" s="9">
        <f t="shared" si="42"/>
        <v>-0.47581572899502378</v>
      </c>
      <c r="AD57" s="11">
        <f t="shared" si="43"/>
        <v>-2892.9596322897446</v>
      </c>
    </row>
    <row r="58" spans="1:30" x14ac:dyDescent="0.25">
      <c r="A58" s="1" t="s">
        <v>80</v>
      </c>
      <c r="B58" s="1">
        <v>90</v>
      </c>
      <c r="I58" s="1"/>
      <c r="J58" s="1"/>
      <c r="O58" s="6">
        <f t="shared" si="15"/>
        <v>61</v>
      </c>
      <c r="P58" s="7">
        <f t="shared" si="30"/>
        <v>9.2284417549167927E-2</v>
      </c>
      <c r="Q58" s="8">
        <f t="shared" si="31"/>
        <v>12.612808722858366</v>
      </c>
      <c r="R58" s="9">
        <f t="shared" si="32"/>
        <v>0.17902634136580145</v>
      </c>
      <c r="S58" s="9">
        <f t="shared" si="33"/>
        <v>6.2631606929925726E-2</v>
      </c>
      <c r="T58" s="8">
        <f t="shared" si="34"/>
        <v>3.9498023910620184</v>
      </c>
      <c r="U58" s="8">
        <f t="shared" si="44"/>
        <v>1.2507999999999999</v>
      </c>
      <c r="V58" s="8">
        <f t="shared" si="35"/>
        <v>-0.23905868102098235</v>
      </c>
      <c r="W58" s="10">
        <f t="shared" si="36"/>
        <v>2.3076180164985911</v>
      </c>
      <c r="X58" s="8">
        <f t="shared" si="37"/>
        <v>2.8584024926280742</v>
      </c>
      <c r="Y58" s="9">
        <f t="shared" si="38"/>
        <v>0.26378600915327161</v>
      </c>
      <c r="Z58" s="11">
        <f t="shared" si="39"/>
        <v>34.565815674919676</v>
      </c>
      <c r="AA58" s="11">
        <f t="shared" si="40"/>
        <v>-1477.7013936176988</v>
      </c>
      <c r="AB58" s="8">
        <f t="shared" si="41"/>
        <v>5.3251009100688922</v>
      </c>
      <c r="AC58" s="9">
        <f t="shared" si="42"/>
        <v>-0.49888283178361403</v>
      </c>
      <c r="AD58" s="11">
        <f t="shared" si="43"/>
        <v>-3083.7610775317794</v>
      </c>
    </row>
    <row r="59" spans="1:30" x14ac:dyDescent="0.25">
      <c r="A59" s="1" t="s">
        <v>79</v>
      </c>
      <c r="B59" s="1">
        <f>B58*(B55+B54+B53)/B57*penalty</f>
        <v>8.9635894507706843E-2</v>
      </c>
      <c r="I59" s="1"/>
      <c r="J59" s="1"/>
      <c r="O59" s="6">
        <f t="shared" si="15"/>
        <v>62</v>
      </c>
      <c r="P59" s="7">
        <f t="shared" si="30"/>
        <v>9.3797276853252648E-2</v>
      </c>
      <c r="Q59" s="8">
        <f t="shared" si="31"/>
        <v>13.029733063871957</v>
      </c>
      <c r="R59" s="9">
        <f t="shared" si="32"/>
        <v>0.17329787102553257</v>
      </c>
      <c r="S59" s="9">
        <f t="shared" si="33"/>
        <v>6.2524533914028513E-2</v>
      </c>
      <c r="T59" s="8">
        <f t="shared" si="34"/>
        <v>4.0733899342140036</v>
      </c>
      <c r="U59" s="8">
        <f t="shared" si="44"/>
        <v>1.2138</v>
      </c>
      <c r="V59" s="8">
        <f t="shared" si="35"/>
        <v>-0.2532823980437775</v>
      </c>
      <c r="W59" s="10">
        <f t="shared" si="36"/>
        <v>2.3454478200477484</v>
      </c>
      <c r="X59" s="8">
        <f t="shared" si="37"/>
        <v>2.7716779346778955</v>
      </c>
      <c r="Y59" s="9">
        <f t="shared" si="38"/>
        <v>0.25997584258703405</v>
      </c>
      <c r="Z59" s="11">
        <f t="shared" si="39"/>
        <v>35.565815674919676</v>
      </c>
      <c r="AA59" s="11">
        <f t="shared" si="40"/>
        <v>-1591.2888794430391</v>
      </c>
      <c r="AB59" s="8">
        <f t="shared" si="41"/>
        <v>5.5011254765667355</v>
      </c>
      <c r="AC59" s="9">
        <f t="shared" si="42"/>
        <v>-0.5223130551978894</v>
      </c>
      <c r="AD59" s="11">
        <f t="shared" si="43"/>
        <v>-3281.518821456606</v>
      </c>
    </row>
    <row r="60" spans="1:30" x14ac:dyDescent="0.25">
      <c r="I60" s="1"/>
      <c r="J60" s="1"/>
      <c r="O60" s="6">
        <f t="shared" si="15"/>
        <v>63</v>
      </c>
      <c r="P60" s="7">
        <f t="shared" si="30"/>
        <v>9.5310136157337369E-2</v>
      </c>
      <c r="Q60" s="8">
        <f t="shared" si="31"/>
        <v>13.453436662463009</v>
      </c>
      <c r="R60" s="9">
        <f t="shared" si="32"/>
        <v>0.16784001416531799</v>
      </c>
      <c r="S60" s="9">
        <f t="shared" si="33"/>
        <v>6.2425758019534337E-2</v>
      </c>
      <c r="T60" s="8">
        <f t="shared" si="34"/>
        <v>4.1992049081102376</v>
      </c>
      <c r="U60" s="8">
        <f t="shared" si="44"/>
        <v>1.1763999999999997</v>
      </c>
      <c r="V60" s="8">
        <f t="shared" si="35"/>
        <v>-0.26773883443365226</v>
      </c>
      <c r="W60" s="10">
        <f t="shared" si="36"/>
        <v>2.3832776235969058</v>
      </c>
      <c r="X60" s="8">
        <f t="shared" si="37"/>
        <v>2.6886339788264535</v>
      </c>
      <c r="Y60" s="9">
        <f t="shared" si="38"/>
        <v>0.25625407059919297</v>
      </c>
      <c r="Z60" s="11">
        <f t="shared" si="39"/>
        <v>36.565815674919676</v>
      </c>
      <c r="AA60" s="11">
        <f t="shared" si="40"/>
        <v>-1709.2447190244363</v>
      </c>
      <c r="AB60" s="8">
        <f t="shared" si="41"/>
        <v>5.6800122311377148</v>
      </c>
      <c r="AC60" s="9">
        <f t="shared" si="42"/>
        <v>-0.54610639923785054</v>
      </c>
      <c r="AD60" s="11">
        <f t="shared" si="43"/>
        <v>-3486.343252734438</v>
      </c>
    </row>
    <row r="61" spans="1:30" x14ac:dyDescent="0.25">
      <c r="I61" s="1"/>
      <c r="J61" s="1"/>
      <c r="O61" s="6">
        <f t="shared" si="15"/>
        <v>64</v>
      </c>
      <c r="P61" s="7">
        <f t="shared" si="30"/>
        <v>9.682299546142209E-2</v>
      </c>
      <c r="Q61" s="8">
        <f t="shared" si="31"/>
        <v>13.883919518631515</v>
      </c>
      <c r="R61" s="9">
        <f t="shared" si="32"/>
        <v>0.16263599028861014</v>
      </c>
      <c r="S61" s="9">
        <f t="shared" si="33"/>
        <v>6.233451952961893E-2</v>
      </c>
      <c r="T61" s="8">
        <f t="shared" si="34"/>
        <v>4.3272372619089685</v>
      </c>
      <c r="U61" s="8">
        <f t="shared" si="44"/>
        <v>1.1385999999999998</v>
      </c>
      <c r="V61" s="8">
        <f t="shared" si="35"/>
        <v>-0.28242709995761506</v>
      </c>
      <c r="W61" s="10">
        <f t="shared" si="36"/>
        <v>2.4211074271460631</v>
      </c>
      <c r="X61" s="8">
        <f t="shared" si="37"/>
        <v>2.6090838834705683</v>
      </c>
      <c r="Y61" s="9">
        <f t="shared" si="38"/>
        <v>0.25261931700774037</v>
      </c>
      <c r="Z61" s="11">
        <f t="shared" si="39"/>
        <v>37.565815674919676</v>
      </c>
      <c r="AA61" s="11">
        <f t="shared" si="40"/>
        <v>-1831.6338855917863</v>
      </c>
      <c r="AB61" s="8">
        <f t="shared" si="41"/>
        <v>5.8617611737818294</v>
      </c>
      <c r="AC61" s="9">
        <f t="shared" si="42"/>
        <v>-0.57026286390349701</v>
      </c>
      <c r="AD61" s="11">
        <f t="shared" si="43"/>
        <v>-3698.3447600354793</v>
      </c>
    </row>
    <row r="62" spans="1:30" x14ac:dyDescent="0.25">
      <c r="I62" s="1"/>
      <c r="J62" s="1"/>
      <c r="O62" s="6">
        <f t="shared" si="15"/>
        <v>65</v>
      </c>
      <c r="P62" s="7">
        <f t="shared" si="30"/>
        <v>9.8335854765506811E-2</v>
      </c>
      <c r="Q62" s="8">
        <f t="shared" si="31"/>
        <v>14.321181632377479</v>
      </c>
      <c r="R62" s="9">
        <f t="shared" si="32"/>
        <v>0.15767029969754962</v>
      </c>
      <c r="S62" s="9">
        <f t="shared" si="33"/>
        <v>6.2250138659477351E-2</v>
      </c>
      <c r="T62" s="8">
        <f t="shared" si="34"/>
        <v>4.4574777119152911</v>
      </c>
      <c r="U62" s="8">
        <f t="shared" si="44"/>
        <v>1.1003999999999998</v>
      </c>
      <c r="V62" s="8">
        <f t="shared" si="35"/>
        <v>-0.29734637233115591</v>
      </c>
      <c r="W62" s="10">
        <f t="shared" si="36"/>
        <v>2.45893723069522</v>
      </c>
      <c r="X62" s="8">
        <f t="shared" si="37"/>
        <v>2.5328505782138513</v>
      </c>
      <c r="Y62" s="9">
        <f t="shared" si="38"/>
        <v>0.24907002660196723</v>
      </c>
      <c r="Z62" s="11">
        <f t="shared" si="39"/>
        <v>38.565815674919676</v>
      </c>
      <c r="AA62" s="11">
        <f t="shared" si="40"/>
        <v>-1958.52143908788</v>
      </c>
      <c r="AB62" s="8">
        <f t="shared" si="41"/>
        <v>6.0463723044990774</v>
      </c>
      <c r="AC62" s="9">
        <f t="shared" si="42"/>
        <v>-0.59478244919482892</v>
      </c>
      <c r="AD62" s="11">
        <f t="shared" si="43"/>
        <v>-3917.6337320299403</v>
      </c>
    </row>
    <row r="63" spans="1:30" x14ac:dyDescent="0.25">
      <c r="I63" s="1"/>
      <c r="J63" s="1"/>
      <c r="O63" s="6">
        <f t="shared" si="15"/>
        <v>66</v>
      </c>
      <c r="P63" s="7">
        <f t="shared" si="30"/>
        <v>9.9848714069591532E-2</v>
      </c>
      <c r="Q63" s="8">
        <f t="shared" si="31"/>
        <v>14.765223003700898</v>
      </c>
      <c r="R63" s="9">
        <f t="shared" si="32"/>
        <v>0.15292860794815133</v>
      </c>
      <c r="S63" s="9">
        <f t="shared" si="33"/>
        <v>6.2172006087872683E-2</v>
      </c>
      <c r="T63" s="8">
        <f t="shared" si="34"/>
        <v>4.5899176723744501</v>
      </c>
      <c r="U63" s="8">
        <f t="shared" si="44"/>
        <v>1.0617999999999999</v>
      </c>
      <c r="V63" s="8">
        <f t="shared" si="35"/>
        <v>-0.31249589108840253</v>
      </c>
      <c r="W63" s="10">
        <f t="shared" si="36"/>
        <v>2.4967670342443773</v>
      </c>
      <c r="X63" s="8">
        <f t="shared" si="37"/>
        <v>2.459766341333832</v>
      </c>
      <c r="Y63" s="9">
        <f t="shared" si="38"/>
        <v>0.24560450609384707</v>
      </c>
      <c r="Z63" s="11">
        <f t="shared" si="39"/>
        <v>39.565815674919676</v>
      </c>
      <c r="AA63" s="11">
        <f t="shared" si="40"/>
        <v>-2089.9725195992364</v>
      </c>
      <c r="AB63" s="8">
        <f t="shared" si="41"/>
        <v>6.2338456232894632</v>
      </c>
      <c r="AC63" s="9">
        <f t="shared" si="42"/>
        <v>-0.61966515511184617</v>
      </c>
      <c r="AD63" s="11">
        <f t="shared" si="43"/>
        <v>-4144.3205573880277</v>
      </c>
    </row>
    <row r="64" spans="1:30" x14ac:dyDescent="0.25">
      <c r="I64" s="1"/>
      <c r="J64" s="1"/>
      <c r="O64" s="6">
        <f t="shared" si="15"/>
        <v>67</v>
      </c>
      <c r="P64" s="7">
        <f t="shared" si="30"/>
        <v>0.10136157337367625</v>
      </c>
      <c r="Q64" s="8">
        <f t="shared" si="31"/>
        <v>15.216043632601776</v>
      </c>
      <c r="R64" s="9">
        <f t="shared" si="32"/>
        <v>0.14839764228606528</v>
      </c>
      <c r="S64" s="9">
        <f t="shared" si="33"/>
        <v>6.2099574732005239E-2</v>
      </c>
      <c r="T64" s="8">
        <f t="shared" si="34"/>
        <v>4.7245491934410317</v>
      </c>
      <c r="U64" s="8">
        <f t="shared" si="44"/>
        <v>1.0227999999999997</v>
      </c>
      <c r="V64" s="8">
        <f t="shared" si="35"/>
        <v>-0.32787495208786727</v>
      </c>
      <c r="W64" s="10">
        <f t="shared" si="36"/>
        <v>2.5345968377935346</v>
      </c>
      <c r="X64" s="8">
        <f t="shared" si="37"/>
        <v>2.389672440213721</v>
      </c>
      <c r="Y64" s="9">
        <f t="shared" si="38"/>
        <v>0.24222095838777508</v>
      </c>
      <c r="Z64" s="11">
        <f t="shared" si="39"/>
        <v>40.565815674919676</v>
      </c>
      <c r="AA64" s="11">
        <f t="shared" si="40"/>
        <v>-2226.0523413752267</v>
      </c>
      <c r="AB64" s="8">
        <f t="shared" si="41"/>
        <v>6.4241811301529852</v>
      </c>
      <c r="AC64" s="9">
        <f t="shared" si="42"/>
        <v>-0.64491098165454885</v>
      </c>
      <c r="AD64" s="11">
        <f t="shared" si="43"/>
        <v>-4378.5156247799505</v>
      </c>
    </row>
    <row r="65" spans="9:30" x14ac:dyDescent="0.25">
      <c r="I65" s="1"/>
      <c r="J65" s="1"/>
      <c r="O65" s="6">
        <f t="shared" si="15"/>
        <v>68</v>
      </c>
      <c r="P65" s="7">
        <f t="shared" si="30"/>
        <v>0.10287443267776097</v>
      </c>
      <c r="Q65" s="8">
        <f t="shared" si="31"/>
        <v>15.673643519080109</v>
      </c>
      <c r="R65" s="9">
        <f t="shared" si="32"/>
        <v>0.14406509866395917</v>
      </c>
      <c r="S65" s="9">
        <f t="shared" si="33"/>
        <v>6.2032352586916986E-2</v>
      </c>
      <c r="T65" s="8">
        <f t="shared" si="34"/>
        <v>4.8613649054861181</v>
      </c>
      <c r="U65" s="8">
        <f t="shared" si="44"/>
        <v>0.98339999999999983</v>
      </c>
      <c r="V65" s="8">
        <f t="shared" si="35"/>
        <v>-0.34348290257956565</v>
      </c>
      <c r="W65" s="10">
        <f t="shared" si="36"/>
        <v>2.5724266413426919</v>
      </c>
      <c r="X65" s="8">
        <f t="shared" si="37"/>
        <v>2.3224187485409575</v>
      </c>
      <c r="Y65" s="9">
        <f t="shared" si="38"/>
        <v>0.23891751119634663</v>
      </c>
      <c r="Z65" s="11">
        <f t="shared" si="39"/>
        <v>41.565815674919676</v>
      </c>
      <c r="AA65" s="11">
        <f t="shared" si="40"/>
        <v>-2366.826187374927</v>
      </c>
      <c r="AB65" s="8">
        <f t="shared" si="41"/>
        <v>6.6173788250896424</v>
      </c>
      <c r="AC65" s="9">
        <f t="shared" si="42"/>
        <v>-0.67051992882293698</v>
      </c>
      <c r="AD65" s="11">
        <f t="shared" si="43"/>
        <v>-4620.3293228759176</v>
      </c>
    </row>
    <row r="66" spans="9:30" x14ac:dyDescent="0.25">
      <c r="I66" s="1"/>
      <c r="J66" s="1"/>
      <c r="O66" s="6">
        <f t="shared" si="15"/>
        <v>69</v>
      </c>
      <c r="P66" s="7">
        <f t="shared" si="30"/>
        <v>0.1043872919818457</v>
      </c>
      <c r="Q66" s="8">
        <f t="shared" si="31"/>
        <v>16.138022663135899</v>
      </c>
      <c r="R66" s="9">
        <f t="shared" si="32"/>
        <v>0.13991955812269422</v>
      </c>
      <c r="S66" s="9">
        <f t="shared" si="33"/>
        <v>6.1969896478523419E-2</v>
      </c>
      <c r="T66" s="8">
        <f t="shared" si="34"/>
        <v>5.0003579690129829</v>
      </c>
      <c r="U66" s="8">
        <f t="shared" si="44"/>
        <v>0.94359999999999999</v>
      </c>
      <c r="V66" s="8">
        <f t="shared" si="35"/>
        <v>-0.35931913676890054</v>
      </c>
      <c r="W66" s="10">
        <f t="shared" si="36"/>
        <v>2.6102564448918493</v>
      </c>
      <c r="X66" s="8">
        <f t="shared" si="37"/>
        <v>2.2578633509769603</v>
      </c>
      <c r="Y66" s="9">
        <f t="shared" si="38"/>
        <v>0.23569224087354052</v>
      </c>
      <c r="Z66" s="11">
        <f t="shared" si="39"/>
        <v>42.565815674919676</v>
      </c>
      <c r="AA66" s="11">
        <f t="shared" si="40"/>
        <v>-2512.3594042881523</v>
      </c>
      <c r="AB66" s="8">
        <f t="shared" si="41"/>
        <v>6.8134387080994356</v>
      </c>
      <c r="AC66" s="9">
        <f t="shared" si="42"/>
        <v>-0.69649199661701044</v>
      </c>
      <c r="AD66" s="11">
        <f t="shared" si="43"/>
        <v>-4869.8720403461366</v>
      </c>
    </row>
    <row r="67" spans="9:30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9">
        <f t="shared" si="4"/>
        <v>0.13595041147390757</v>
      </c>
      <c r="S67" s="9">
        <f t="shared" si="5"/>
        <v>6.1911806602566496E-2</v>
      </c>
      <c r="T67" s="8">
        <f t="shared" si="6"/>
        <v>5.1415220295449835</v>
      </c>
      <c r="U67" s="8">
        <f t="shared" si="44"/>
        <v>0.90339999999999976</v>
      </c>
      <c r="V67" s="8">
        <f t="shared" si="7"/>
        <v>-0.37538309182094831</v>
      </c>
      <c r="W67" s="10">
        <f t="shared" si="8"/>
        <v>2.6480862484410062</v>
      </c>
      <c r="X67" s="8">
        <f t="shared" si="9"/>
        <v>2.1958721435253978</v>
      </c>
      <c r="Y67" s="9">
        <f t="shared" si="10"/>
        <v>0.23254319220389991</v>
      </c>
      <c r="Z67" s="11">
        <f t="shared" si="11"/>
        <v>43.565815674919676</v>
      </c>
      <c r="AA67" s="11">
        <f t="shared" si="12"/>
        <v>-2662.7173979832601</v>
      </c>
      <c r="AB67" s="8">
        <f t="shared" si="1"/>
        <v>7.0123607791823623</v>
      </c>
      <c r="AC67" s="9">
        <f t="shared" si="2"/>
        <v>-0.72282718503676935</v>
      </c>
      <c r="AD67" s="11">
        <f t="shared" si="3"/>
        <v>-5127.2541658608179</v>
      </c>
    </row>
    <row r="68" spans="9:30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9">
        <f t="shared" si="4"/>
        <v>0.13214779135531585</v>
      </c>
      <c r="S68" s="9">
        <f t="shared" si="5"/>
        <v>6.185772174114694E-2</v>
      </c>
      <c r="T68" s="8">
        <f t="shared" si="6"/>
        <v>5.2848511769294362</v>
      </c>
      <c r="U68" s="8">
        <f t="shared" si="44"/>
        <v>0.86280000000000001</v>
      </c>
      <c r="V68" s="8">
        <f t="shared" si="7"/>
        <v>-0.39167424425588171</v>
      </c>
      <c r="W68" s="10">
        <f t="shared" si="8"/>
        <v>2.6859160519901635</v>
      </c>
      <c r="X68" s="8">
        <f t="shared" si="9"/>
        <v>2.1363184358503924</v>
      </c>
      <c r="Y68" s="9">
        <f t="shared" si="10"/>
        <v>0.22946839477364275</v>
      </c>
      <c r="Z68" s="11">
        <f t="shared" si="11"/>
        <v>44.565815674919676</v>
      </c>
      <c r="AA68" s="11">
        <f t="shared" si="12"/>
        <v>-2817.9656293396506</v>
      </c>
      <c r="AB68" s="8">
        <f t="shared" si="1"/>
        <v>7.2141450383384269</v>
      </c>
      <c r="AC68" s="9">
        <f t="shared" si="2"/>
        <v>-0.74952549408221369</v>
      </c>
      <c r="AD68" s="11">
        <f t="shared" si="3"/>
        <v>-5392.5860880901664</v>
      </c>
    </row>
    <row r="69" spans="9:30" x14ac:dyDescent="0.25">
      <c r="I69" s="1"/>
      <c r="J69" s="1"/>
    </row>
    <row r="70" spans="9:30" x14ac:dyDescent="0.25">
      <c r="I70" s="1"/>
      <c r="J70" s="1"/>
    </row>
    <row r="71" spans="9:30" ht="15.75" thickBot="1" x14ac:dyDescent="0.3">
      <c r="I71" s="1"/>
      <c r="J71" s="1"/>
    </row>
    <row r="72" spans="9:30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5"/>
    </row>
    <row r="73" spans="9:30" x14ac:dyDescent="0.25">
      <c r="I73" s="1"/>
      <c r="J73" s="1"/>
      <c r="O73" s="26" t="s">
        <v>26</v>
      </c>
      <c r="P73" s="21" t="s">
        <v>27</v>
      </c>
      <c r="Q73" s="21" t="s">
        <v>4</v>
      </c>
      <c r="R73" s="21" t="s">
        <v>5</v>
      </c>
      <c r="S73" s="21" t="s">
        <v>6</v>
      </c>
      <c r="T73" s="21" t="s">
        <v>10</v>
      </c>
      <c r="U73" s="21" t="s">
        <v>30</v>
      </c>
      <c r="V73" s="21" t="s">
        <v>21</v>
      </c>
      <c r="W73" s="21" t="s">
        <v>0</v>
      </c>
      <c r="X73" s="21" t="s">
        <v>13</v>
      </c>
      <c r="Y73" s="21" t="s">
        <v>22</v>
      </c>
      <c r="Z73" s="21" t="s">
        <v>1</v>
      </c>
      <c r="AA73" s="27" t="s">
        <v>28</v>
      </c>
    </row>
    <row r="74" spans="9:30" x14ac:dyDescent="0.25">
      <c r="I74" s="1"/>
      <c r="J74" s="1"/>
      <c r="O74" s="12">
        <v>0</v>
      </c>
      <c r="P74" s="11">
        <v>0.1</v>
      </c>
      <c r="Q74" s="7">
        <f t="shared" ref="Q74:Q79" si="45">Z74/661</f>
        <v>2.2782466756907396E-2</v>
      </c>
      <c r="R74" s="8">
        <f t="shared" ref="R74" si="46">1481*Q74^2</f>
        <v>0.76869941225532368</v>
      </c>
      <c r="S74" s="6">
        <f>$U$11</f>
        <v>0</v>
      </c>
      <c r="T74" s="7">
        <f t="shared" ref="T74:T99" si="47">IF(S74&lt;$P$8,S74^2/(PI()*$P$12)+$P$11,99.999)</f>
        <v>6.0931278761122476E-2</v>
      </c>
      <c r="U74" s="22">
        <f>S74*R74*$P$13</f>
        <v>0</v>
      </c>
      <c r="V74" s="8">
        <f>IF(T74="","",R74*T74*$P$13+$U$12*($P$10-U74))</f>
        <v>0.79869544085820066</v>
      </c>
      <c r="W74" s="8">
        <f t="shared" ref="W74:W105" si="48">$P$9*($G$34*Z74^2+$G$35*Z74+$G$36)</f>
        <v>2.519309825138504</v>
      </c>
      <c r="X74" s="9">
        <f>IF(T74="","",(W74-V74)/$P$10)</f>
        <v>0.15239994103522356</v>
      </c>
      <c r="Y74" s="10">
        <f>Q74/$U$9</f>
        <v>0.56968697581592698</v>
      </c>
      <c r="Z74" s="8">
        <f>P74*3600/6080+$P$14</f>
        <v>15.059210526315789</v>
      </c>
      <c r="AA74" s="13">
        <v>0</v>
      </c>
    </row>
    <row r="75" spans="9:30" x14ac:dyDescent="0.25">
      <c r="I75" s="1"/>
      <c r="J75" s="1"/>
      <c r="O75" s="12">
        <f>O74+0.5</f>
        <v>0.5</v>
      </c>
      <c r="P75" s="11">
        <f>P74+32.2*X74*(O75-O74)</f>
        <v>2.5536390506670994</v>
      </c>
      <c r="Q75" s="7">
        <f t="shared" si="45"/>
        <v>2.4980367809539362E-2</v>
      </c>
      <c r="R75" s="8">
        <f t="shared" ref="R75:R79" si="49">1481*Q75^2</f>
        <v>0.92417180710770819</v>
      </c>
      <c r="S75" s="6">
        <f t="shared" ref="S75:S134" si="50">$U$11</f>
        <v>0</v>
      </c>
      <c r="T75" s="7">
        <f t="shared" si="47"/>
        <v>6.0931278761122476E-2</v>
      </c>
      <c r="U75" s="22">
        <f t="shared" ref="U75:U89" si="51">S75*R75*$P$13</f>
        <v>0</v>
      </c>
      <c r="V75" s="8">
        <f t="shared" ref="V75:V99" si="52">IF(T75="","",R75*T75*$P$13+$U$12*($P$10-U75))</f>
        <v>0.84606110001025037</v>
      </c>
      <c r="W75" s="8">
        <f t="shared" si="48"/>
        <v>2.4921215317689018</v>
      </c>
      <c r="X75" s="9">
        <f>IF(T75="","",(W75-V75)/$P$10)</f>
        <v>0.14579647539408566</v>
      </c>
      <c r="Y75" s="10">
        <f t="shared" ref="Y75:Y89" si="53">Q75/$U$9</f>
        <v>0.62464659090839358</v>
      </c>
      <c r="Z75" s="8">
        <f t="shared" ref="Z75:Z99" si="54">P75*3600/6080+$P$14</f>
        <v>16.512023122105518</v>
      </c>
      <c r="AA75" s="13">
        <f>AA74+(P75+P74)/2*(O75-O74)</f>
        <v>0.66340976266677487</v>
      </c>
    </row>
    <row r="76" spans="9:30" x14ac:dyDescent="0.25">
      <c r="I76" s="1"/>
      <c r="J76" s="1"/>
      <c r="O76" s="12">
        <f t="shared" ref="O76:O89" si="55">O75+0.5</f>
        <v>1</v>
      </c>
      <c r="P76" s="11">
        <f t="shared" ref="P76:P89" si="56">P75+32.2*X75*(O76-O75)</f>
        <v>4.9009623045118786</v>
      </c>
      <c r="Q76" s="7">
        <f t="shared" si="45"/>
        <v>2.7083034152859193E-2</v>
      </c>
      <c r="R76" s="8">
        <f t="shared" si="49"/>
        <v>1.0862997843478324</v>
      </c>
      <c r="S76" s="6">
        <f t="shared" si="50"/>
        <v>0</v>
      </c>
      <c r="T76" s="7">
        <f t="shared" si="47"/>
        <v>6.0931278761122476E-2</v>
      </c>
      <c r="U76" s="22">
        <f t="shared" si="51"/>
        <v>0</v>
      </c>
      <c r="V76" s="8">
        <f t="shared" si="52"/>
        <v>0.89545442489122506</v>
      </c>
      <c r="W76" s="8">
        <f t="shared" si="48"/>
        <v>2.4653211174411402</v>
      </c>
      <c r="X76" s="9">
        <f t="shared" ref="X76:X89" si="57">IF(T76="","",(W76-V76)/$P$10)</f>
        <v>0.13904776896180646</v>
      </c>
      <c r="Y76" s="10">
        <f t="shared" si="53"/>
        <v>0.67722481446325211</v>
      </c>
      <c r="Z76" s="8">
        <f t="shared" si="54"/>
        <v>17.901885575039927</v>
      </c>
      <c r="AA76" s="13">
        <f t="shared" ref="AA76:AA89" si="58">AA75+(P76+P75)/2*(O76-O75)</f>
        <v>2.5270601014615193</v>
      </c>
    </row>
    <row r="77" spans="9:30" x14ac:dyDescent="0.25">
      <c r="I77" s="1"/>
      <c r="J77" s="1"/>
      <c r="O77" s="12">
        <f t="shared" si="55"/>
        <v>1.5</v>
      </c>
      <c r="P77" s="11">
        <f t="shared" si="56"/>
        <v>7.1396313847969628</v>
      </c>
      <c r="Q77" s="7">
        <f t="shared" si="45"/>
        <v>2.9088371134562131E-2</v>
      </c>
      <c r="R77" s="8">
        <f t="shared" si="49"/>
        <v>1.2531234695230624</v>
      </c>
      <c r="S77" s="6">
        <f t="shared" si="50"/>
        <v>0</v>
      </c>
      <c r="T77" s="7">
        <f t="shared" si="47"/>
        <v>6.0931278761122476E-2</v>
      </c>
      <c r="U77" s="22">
        <f t="shared" si="51"/>
        <v>0</v>
      </c>
      <c r="V77" s="8">
        <f t="shared" si="52"/>
        <v>0.94627832721807337</v>
      </c>
      <c r="W77" s="8">
        <f t="shared" si="48"/>
        <v>2.4390413902374708</v>
      </c>
      <c r="X77" s="9">
        <f t="shared" si="57"/>
        <v>0.13221847083352906</v>
      </c>
      <c r="Y77" s="10">
        <f t="shared" si="53"/>
        <v>0.72736926865198992</v>
      </c>
      <c r="Z77" s="8">
        <f t="shared" si="54"/>
        <v>19.227413319945569</v>
      </c>
      <c r="AA77" s="13">
        <f t="shared" si="58"/>
        <v>5.5372085237887294</v>
      </c>
    </row>
    <row r="78" spans="9:30" x14ac:dyDescent="0.25">
      <c r="I78" s="1"/>
      <c r="J78" s="1"/>
      <c r="O78" s="12">
        <f t="shared" si="55"/>
        <v>2</v>
      </c>
      <c r="P78" s="11">
        <f t="shared" si="56"/>
        <v>9.2683487652167802</v>
      </c>
      <c r="Q78" s="7">
        <f t="shared" si="45"/>
        <v>3.0995216466971003E-2</v>
      </c>
      <c r="R78" s="8">
        <f t="shared" si="49"/>
        <v>1.4228018003187322</v>
      </c>
      <c r="S78" s="6">
        <f t="shared" si="50"/>
        <v>0</v>
      </c>
      <c r="T78" s="7">
        <f t="shared" si="47"/>
        <v>6.0931278761122476E-2</v>
      </c>
      <c r="U78" s="22">
        <f t="shared" si="51"/>
        <v>0</v>
      </c>
      <c r="V78" s="8">
        <f t="shared" si="52"/>
        <v>0.9979719155852379</v>
      </c>
      <c r="W78" s="8">
        <f t="shared" si="48"/>
        <v>2.4134005058734056</v>
      </c>
      <c r="X78" s="9">
        <f t="shared" si="57"/>
        <v>0.1253687262353754</v>
      </c>
      <c r="Y78" s="10">
        <f t="shared" si="53"/>
        <v>0.77505088988992588</v>
      </c>
      <c r="Z78" s="8">
        <f t="shared" si="54"/>
        <v>20.487838084667832</v>
      </c>
      <c r="AA78" s="13">
        <f t="shared" si="58"/>
        <v>9.6392035612921649</v>
      </c>
    </row>
    <row r="79" spans="9:30" x14ac:dyDescent="0.25">
      <c r="I79" s="1"/>
      <c r="J79" s="1"/>
      <c r="O79" s="12">
        <f t="shared" si="55"/>
        <v>2.5</v>
      </c>
      <c r="P79" s="11">
        <f t="shared" si="56"/>
        <v>11.286785257606324</v>
      </c>
      <c r="Q79" s="7">
        <f t="shared" si="45"/>
        <v>3.2803275272559211E-2</v>
      </c>
      <c r="R79" s="8">
        <f t="shared" si="49"/>
        <v>1.5936372604074032</v>
      </c>
      <c r="S79" s="6">
        <f t="shared" si="50"/>
        <v>0</v>
      </c>
      <c r="T79" s="7">
        <f t="shared" si="47"/>
        <v>6.0931278761122476E-2</v>
      </c>
      <c r="U79" s="22">
        <f t="shared" si="51"/>
        <v>0</v>
      </c>
      <c r="V79" s="8">
        <f t="shared" si="52"/>
        <v>1.0500180307899751</v>
      </c>
      <c r="W79" s="8">
        <f t="shared" si="48"/>
        <v>2.3885010407066418</v>
      </c>
      <c r="X79" s="9">
        <f t="shared" si="57"/>
        <v>0.11855342699187713</v>
      </c>
      <c r="Y79" s="10">
        <f t="shared" si="53"/>
        <v>0.82026230461702565</v>
      </c>
      <c r="Z79" s="8">
        <f t="shared" si="54"/>
        <v>21.682964955161641</v>
      </c>
      <c r="AA79" s="13">
        <f t="shared" si="58"/>
        <v>14.777987066997941</v>
      </c>
    </row>
    <row r="80" spans="9:30" x14ac:dyDescent="0.25">
      <c r="I80" s="1"/>
      <c r="J80" s="1"/>
      <c r="O80" s="12">
        <f t="shared" si="55"/>
        <v>3</v>
      </c>
      <c r="P80" s="11">
        <f t="shared" si="56"/>
        <v>13.195495432175546</v>
      </c>
      <c r="Q80" s="7">
        <f t="shared" ref="Q80:Q89" si="59">Z80/661</f>
        <v>3.4513044319768683E-2</v>
      </c>
      <c r="R80" s="8">
        <f t="shared" ref="R80:R89" si="60">1481*Q80^2</f>
        <v>1.7640934879913281</v>
      </c>
      <c r="S80" s="6">
        <f t="shared" si="50"/>
        <v>0</v>
      </c>
      <c r="T80" s="7">
        <f t="shared" si="47"/>
        <v>6.0931278761122476E-2</v>
      </c>
      <c r="U80" s="22">
        <f t="shared" si="51"/>
        <v>0</v>
      </c>
      <c r="V80" s="8">
        <f t="shared" si="52"/>
        <v>1.1019486103874025</v>
      </c>
      <c r="W80" s="8">
        <f t="shared" si="48"/>
        <v>2.3644295737647729</v>
      </c>
      <c r="X80" s="9">
        <f t="shared" si="57"/>
        <v>0.11182169935030573</v>
      </c>
      <c r="Y80" s="10">
        <f t="shared" si="53"/>
        <v>0.8630159347766363</v>
      </c>
      <c r="Z80" s="8">
        <f t="shared" si="54"/>
        <v>22.813122295367101</v>
      </c>
      <c r="AA80" s="13">
        <f t="shared" si="58"/>
        <v>20.898557239443409</v>
      </c>
    </row>
    <row r="81" spans="9:27" x14ac:dyDescent="0.25">
      <c r="I81" s="1"/>
      <c r="J81" s="1"/>
      <c r="O81" s="12">
        <f t="shared" si="55"/>
        <v>3.5</v>
      </c>
      <c r="P81" s="11">
        <f t="shared" si="56"/>
        <v>14.995824791715469</v>
      </c>
      <c r="Q81" s="7">
        <f t="shared" si="59"/>
        <v>3.6125728872266824E-2</v>
      </c>
      <c r="R81" s="8">
        <f t="shared" si="60"/>
        <v>1.9328061323843009</v>
      </c>
      <c r="S81" s="6">
        <f t="shared" si="50"/>
        <v>0</v>
      </c>
      <c r="T81" s="7">
        <f t="shared" si="47"/>
        <v>6.0931278761122476E-2</v>
      </c>
      <c r="U81" s="22">
        <f t="shared" si="51"/>
        <v>0</v>
      </c>
      <c r="V81" s="8">
        <f t="shared" si="52"/>
        <v>1.1533479962175741</v>
      </c>
      <c r="W81" s="8">
        <f t="shared" si="48"/>
        <v>2.3412567277055882</v>
      </c>
      <c r="X81" s="9">
        <f t="shared" si="57"/>
        <v>0.10521661465112336</v>
      </c>
      <c r="Y81" s="10">
        <f t="shared" si="53"/>
        <v>0.90334191858956914</v>
      </c>
      <c r="Z81" s="8">
        <f t="shared" si="54"/>
        <v>23.879106784568371</v>
      </c>
      <c r="AA81" s="13">
        <f t="shared" si="58"/>
        <v>27.946387295416162</v>
      </c>
    </row>
    <row r="82" spans="9:27" x14ac:dyDescent="0.25">
      <c r="I82" s="1"/>
      <c r="J82" s="1"/>
      <c r="O82" s="12">
        <f t="shared" si="55"/>
        <v>4</v>
      </c>
      <c r="P82" s="11">
        <f t="shared" si="56"/>
        <v>16.689812287598556</v>
      </c>
      <c r="Q82" s="7">
        <f t="shared" si="59"/>
        <v>3.7643155365513478E-2</v>
      </c>
      <c r="R82" s="8">
        <f t="shared" si="60"/>
        <v>2.0985875830367076</v>
      </c>
      <c r="S82" s="6">
        <f t="shared" si="50"/>
        <v>0</v>
      </c>
      <c r="T82" s="7">
        <f t="shared" si="47"/>
        <v>6.0931278761122476E-2</v>
      </c>
      <c r="U82" s="22">
        <f t="shared" si="51"/>
        <v>0</v>
      </c>
      <c r="V82" s="8">
        <f t="shared" si="52"/>
        <v>1.2038543751331994</v>
      </c>
      <c r="W82" s="8">
        <f t="shared" si="48"/>
        <v>2.3190376055257809</v>
      </c>
      <c r="X82" s="9">
        <f t="shared" si="57"/>
        <v>9.8775100399028495E-2</v>
      </c>
      <c r="Y82" s="10">
        <f t="shared" si="53"/>
        <v>0.94128592698798186</v>
      </c>
      <c r="Z82" s="8">
        <f t="shared" si="54"/>
        <v>24.882125696604408</v>
      </c>
      <c r="AA82" s="13">
        <f t="shared" si="58"/>
        <v>35.867796565244667</v>
      </c>
    </row>
    <row r="83" spans="9:27" x14ac:dyDescent="0.25">
      <c r="I83" s="1"/>
      <c r="J83" s="1"/>
      <c r="O83" s="12">
        <f t="shared" si="55"/>
        <v>4.5</v>
      </c>
      <c r="P83" s="11">
        <f t="shared" si="56"/>
        <v>18.280091404022915</v>
      </c>
      <c r="Q83" s="7">
        <f t="shared" si="59"/>
        <v>3.9067682800800849E-2</v>
      </c>
      <c r="R83" s="8">
        <f t="shared" si="60"/>
        <v>2.2604263661869299</v>
      </c>
      <c r="S83" s="6">
        <f t="shared" si="50"/>
        <v>0</v>
      </c>
      <c r="T83" s="7">
        <f t="shared" si="47"/>
        <v>6.0931278761122476E-2</v>
      </c>
      <c r="U83" s="22">
        <f t="shared" si="51"/>
        <v>0</v>
      </c>
      <c r="V83" s="8">
        <f t="shared" si="52"/>
        <v>1.2531595951856347</v>
      </c>
      <c r="W83" s="8">
        <f t="shared" si="48"/>
        <v>2.2978125524105222</v>
      </c>
      <c r="X83" s="9">
        <f t="shared" si="57"/>
        <v>9.2528024023196154E-2</v>
      </c>
      <c r="Y83" s="10">
        <f t="shared" si="53"/>
        <v>0.9769069479790311</v>
      </c>
      <c r="Z83" s="8">
        <f t="shared" si="54"/>
        <v>25.823738331329359</v>
      </c>
      <c r="AA83" s="13">
        <f t="shared" si="58"/>
        <v>44.610272488150031</v>
      </c>
    </row>
    <row r="84" spans="9:27" x14ac:dyDescent="0.25">
      <c r="I84" s="1"/>
      <c r="J84" s="1"/>
      <c r="O84" s="12">
        <f t="shared" si="55"/>
        <v>5</v>
      </c>
      <c r="P84" s="11">
        <f t="shared" si="56"/>
        <v>19.769792590796374</v>
      </c>
      <c r="Q84" s="7">
        <f t="shared" si="59"/>
        <v>4.0402115347277591E-2</v>
      </c>
      <c r="R84" s="8">
        <f t="shared" si="60"/>
        <v>2.4174820992359254</v>
      </c>
      <c r="S84" s="6">
        <f t="shared" si="50"/>
        <v>0</v>
      </c>
      <c r="T84" s="7">
        <f t="shared" si="47"/>
        <v>6.0931278761122476E-2</v>
      </c>
      <c r="U84" s="22">
        <f t="shared" si="51"/>
        <v>0</v>
      </c>
      <c r="V84" s="8">
        <f t="shared" si="52"/>
        <v>1.3010076284428385</v>
      </c>
      <c r="W84" s="8">
        <f t="shared" si="48"/>
        <v>2.2776081697918467</v>
      </c>
      <c r="X84" s="9">
        <f t="shared" si="57"/>
        <v>8.6500418848242E-2</v>
      </c>
      <c r="Y84" s="10">
        <f t="shared" si="53"/>
        <v>1.010275101214773</v>
      </c>
      <c r="Z84" s="8">
        <f t="shared" si="54"/>
        <v>26.705798244550486</v>
      </c>
      <c r="AA84" s="13">
        <f t="shared" si="58"/>
        <v>54.122743486854851</v>
      </c>
    </row>
    <row r="85" spans="9:27" x14ac:dyDescent="0.25">
      <c r="I85" s="1"/>
      <c r="J85" s="1"/>
      <c r="O85" s="12">
        <f t="shared" si="55"/>
        <v>5.5</v>
      </c>
      <c r="P85" s="11">
        <f t="shared" si="56"/>
        <v>21.162449334253072</v>
      </c>
      <c r="Q85" s="7">
        <f t="shared" si="59"/>
        <v>4.1649618202910035E-2</v>
      </c>
      <c r="R85" s="8">
        <f t="shared" si="60"/>
        <v>2.5690769214397471</v>
      </c>
      <c r="S85" s="6">
        <f t="shared" si="50"/>
        <v>0</v>
      </c>
      <c r="T85" s="7">
        <f t="shared" si="47"/>
        <v>6.0931278761122476E-2</v>
      </c>
      <c r="U85" s="22">
        <f t="shared" si="51"/>
        <v>0</v>
      </c>
      <c r="V85" s="8">
        <f t="shared" si="52"/>
        <v>1.3471919602950577</v>
      </c>
      <c r="W85" s="8">
        <f t="shared" si="48"/>
        <v>2.2584385106051013</v>
      </c>
      <c r="X85" s="9">
        <f t="shared" si="57"/>
        <v>8.0711821198617695E-2</v>
      </c>
      <c r="Y85" s="10">
        <f t="shared" si="53"/>
        <v>1.0414695340534168</v>
      </c>
      <c r="Z85" s="8">
        <f t="shared" si="54"/>
        <v>27.530397632123531</v>
      </c>
      <c r="AA85" s="13">
        <f t="shared" si="58"/>
        <v>64.355803968117215</v>
      </c>
    </row>
    <row r="86" spans="9:27" x14ac:dyDescent="0.25">
      <c r="I86" s="1"/>
      <c r="J86" s="1"/>
      <c r="O86" s="12">
        <f t="shared" si="55"/>
        <v>6</v>
      </c>
      <c r="P86" s="11">
        <f t="shared" si="56"/>
        <v>22.461909655550816</v>
      </c>
      <c r="Q86" s="7">
        <f t="shared" si="59"/>
        <v>4.2813638317138837E-2</v>
      </c>
      <c r="R86" s="8">
        <f t="shared" si="60"/>
        <v>2.7146842940331033</v>
      </c>
      <c r="S86" s="6">
        <f t="shared" si="50"/>
        <v>0</v>
      </c>
      <c r="T86" s="7">
        <f t="shared" si="47"/>
        <v>6.0931278761122476E-2</v>
      </c>
      <c r="U86" s="22">
        <f t="shared" si="51"/>
        <v>0</v>
      </c>
      <c r="V86" s="8">
        <f t="shared" si="52"/>
        <v>1.3915521773408599</v>
      </c>
      <c r="W86" s="8">
        <f t="shared" si="48"/>
        <v>2.240306389909795</v>
      </c>
      <c r="X86" s="9">
        <f t="shared" si="57"/>
        <v>7.5176688705300879E-2</v>
      </c>
      <c r="Y86" s="10">
        <f t="shared" si="53"/>
        <v>1.0705764391897037</v>
      </c>
      <c r="Z86" s="8">
        <f t="shared" si="54"/>
        <v>28.299814927628773</v>
      </c>
      <c r="AA86" s="13">
        <f t="shared" si="58"/>
        <v>75.261893715568192</v>
      </c>
    </row>
    <row r="87" spans="9:27" x14ac:dyDescent="0.25">
      <c r="I87" s="1"/>
      <c r="J87" s="1"/>
      <c r="O87" s="12">
        <f t="shared" si="55"/>
        <v>6.5</v>
      </c>
      <c r="P87" s="11">
        <f t="shared" si="56"/>
        <v>23.672254343706161</v>
      </c>
      <c r="Q87" s="7">
        <f t="shared" si="59"/>
        <v>4.3897831146324895E-2</v>
      </c>
      <c r="R87" s="8">
        <f t="shared" si="60"/>
        <v>2.8539159970192043</v>
      </c>
      <c r="S87" s="6">
        <f t="shared" si="50"/>
        <v>0</v>
      </c>
      <c r="T87" s="7">
        <f t="shared" si="47"/>
        <v>6.0931278761122476E-2</v>
      </c>
      <c r="U87" s="22">
        <f>S87*R87*$P$13</f>
        <v>0</v>
      </c>
      <c r="V87" s="8">
        <f t="shared" si="52"/>
        <v>1.4339700058760196</v>
      </c>
      <c r="W87" s="8">
        <f t="shared" si="48"/>
        <v>2.2232047524663168</v>
      </c>
      <c r="X87" s="9">
        <f t="shared" si="57"/>
        <v>6.9904872318977615E-2</v>
      </c>
      <c r="Y87" s="10">
        <f t="shared" si="53"/>
        <v>1.0976872231382002</v>
      </c>
      <c r="Z87" s="8">
        <f t="shared" si="54"/>
        <v>29.016466387720754</v>
      </c>
      <c r="AA87" s="13">
        <f t="shared" si="58"/>
        <v>86.795434715382441</v>
      </c>
    </row>
    <row r="88" spans="9:27" x14ac:dyDescent="0.25">
      <c r="I88" s="1"/>
      <c r="J88" s="1"/>
      <c r="O88" s="12">
        <f t="shared" si="55"/>
        <v>7</v>
      </c>
      <c r="P88" s="11">
        <f t="shared" si="56"/>
        <v>24.7977227880417</v>
      </c>
      <c r="Q88" s="7">
        <f t="shared" si="59"/>
        <v>4.4905994216535482E-2</v>
      </c>
      <c r="R88" s="8">
        <f t="shared" si="60"/>
        <v>2.9865080568483422</v>
      </c>
      <c r="S88" s="6">
        <f t="shared" si="50"/>
        <v>0</v>
      </c>
      <c r="T88" s="7">
        <f t="shared" si="47"/>
        <v>6.0931278761122476E-2</v>
      </c>
      <c r="U88" s="22">
        <f t="shared" si="51"/>
        <v>0</v>
      </c>
      <c r="V88" s="8">
        <f t="shared" si="52"/>
        <v>1.4743650246708226</v>
      </c>
      <c r="W88" s="8">
        <f t="shared" si="48"/>
        <v>2.2071180475982901</v>
      </c>
      <c r="X88" s="9">
        <f t="shared" si="57"/>
        <v>6.4902117817780366E-2</v>
      </c>
      <c r="Y88" s="10">
        <f t="shared" si="53"/>
        <v>1.1228968449375356</v>
      </c>
      <c r="Z88" s="8">
        <f t="shared" si="54"/>
        <v>29.682862177129955</v>
      </c>
      <c r="AA88" s="13">
        <f t="shared" si="58"/>
        <v>98.912928998319401</v>
      </c>
    </row>
    <row r="89" spans="9:27" x14ac:dyDescent="0.25">
      <c r="I89" s="1"/>
      <c r="J89" s="1"/>
      <c r="O89" s="12">
        <f t="shared" si="55"/>
        <v>7.5</v>
      </c>
      <c r="P89" s="11">
        <f t="shared" si="56"/>
        <v>25.842646884907964</v>
      </c>
      <c r="Q89" s="7">
        <f t="shared" si="59"/>
        <v>4.58420079190393E-2</v>
      </c>
      <c r="R89" s="8">
        <f t="shared" si="60"/>
        <v>3.112306230962957</v>
      </c>
      <c r="S89" s="6">
        <f t="shared" si="50"/>
        <v>0</v>
      </c>
      <c r="T89" s="7">
        <f t="shared" si="47"/>
        <v>6.0931278761122476E-2</v>
      </c>
      <c r="U89" s="22">
        <f t="shared" si="51"/>
        <v>0</v>
      </c>
      <c r="V89" s="8">
        <f t="shared" si="52"/>
        <v>1.5126902427439117</v>
      </c>
      <c r="W89" s="8">
        <f t="shared" si="48"/>
        <v>2.1920235709191833</v>
      </c>
      <c r="X89" s="9">
        <f t="shared" si="57"/>
        <v>6.0170576337752822E-2</v>
      </c>
      <c r="Y89" s="10">
        <f t="shared" si="53"/>
        <v>1.1463023357121462</v>
      </c>
      <c r="Z89" s="8">
        <f t="shared" si="54"/>
        <v>30.301567234484978</v>
      </c>
      <c r="AA89" s="13">
        <f t="shared" si="58"/>
        <v>111.57302141655681</v>
      </c>
    </row>
    <row r="90" spans="9:27" x14ac:dyDescent="0.25">
      <c r="I90" s="1"/>
      <c r="J90" s="1"/>
      <c r="O90" s="12">
        <f t="shared" ref="O90:O134" si="61">O89+0.5</f>
        <v>8</v>
      </c>
      <c r="P90" s="11">
        <f t="shared" ref="P90:P99" si="62">P89+32.2*X89*(O90-O89)</f>
        <v>26.811393163945784</v>
      </c>
      <c r="Q90" s="7">
        <f t="shared" ref="Q90:Q99" si="63">Z90/661</f>
        <v>4.6709783668635249E-2</v>
      </c>
      <c r="R90" s="8">
        <f t="shared" ref="R90:R99" si="64">1481*Q90^2</f>
        <v>3.2312515616390129</v>
      </c>
      <c r="S90" s="6">
        <f t="shared" si="50"/>
        <v>0</v>
      </c>
      <c r="T90" s="7">
        <f t="shared" si="47"/>
        <v>6.0931278761122476E-2</v>
      </c>
      <c r="U90" s="22">
        <f t="shared" ref="U90:U99" si="65">S90*R90*$P$13</f>
        <v>0</v>
      </c>
      <c r="V90" s="8">
        <f t="shared" si="52"/>
        <v>1.5489276982476952</v>
      </c>
      <c r="W90" s="8">
        <f t="shared" si="48"/>
        <v>2.1778927416214664</v>
      </c>
      <c r="X90" s="9">
        <f t="shared" ref="X90:X99" si="66">IF(T90="","",(W90-V90)/$P$10)</f>
        <v>5.5709307325983656E-2</v>
      </c>
      <c r="Y90" s="10">
        <f t="shared" ref="Y90:Y99" si="67">Q90/$U$9</f>
        <v>1.1680015023453569</v>
      </c>
      <c r="Z90" s="8">
        <f t="shared" si="54"/>
        <v>30.875167004967899</v>
      </c>
      <c r="AA90" s="13">
        <f t="shared" ref="AA90:AA99" si="68">AA89+(P90+P89)/2*(O90-O89)</f>
        <v>124.73653142877025</v>
      </c>
    </row>
    <row r="91" spans="9:27" x14ac:dyDescent="0.25">
      <c r="I91" s="1"/>
      <c r="J91" s="1"/>
      <c r="O91" s="12">
        <f t="shared" si="61"/>
        <v>8.5</v>
      </c>
      <c r="P91" s="11">
        <f t="shared" si="62"/>
        <v>27.70831301189412</v>
      </c>
      <c r="Q91" s="7">
        <f t="shared" si="63"/>
        <v>4.7513219315535385E-2</v>
      </c>
      <c r="R91" s="8">
        <f t="shared" si="64"/>
        <v>3.3433664004044497</v>
      </c>
      <c r="S91" s="6">
        <f t="shared" si="50"/>
        <v>0</v>
      </c>
      <c r="T91" s="7">
        <f t="shared" si="47"/>
        <v>6.0931278761122476E-2</v>
      </c>
      <c r="U91" s="22">
        <f t="shared" si="65"/>
        <v>0</v>
      </c>
      <c r="V91" s="8">
        <f t="shared" si="52"/>
        <v>1.5830842007180708</v>
      </c>
      <c r="W91" s="8">
        <f t="shared" si="48"/>
        <v>2.1646922925470324</v>
      </c>
      <c r="X91" s="9">
        <f t="shared" si="66"/>
        <v>5.1514761070312477E-2</v>
      </c>
      <c r="Y91" s="10">
        <f t="shared" si="67"/>
        <v>1.1880918125312141</v>
      </c>
      <c r="Z91" s="8">
        <f t="shared" si="54"/>
        <v>31.406237967568888</v>
      </c>
      <c r="AA91" s="13">
        <f t="shared" si="68"/>
        <v>138.36645797273022</v>
      </c>
    </row>
    <row r="92" spans="9:27" x14ac:dyDescent="0.25">
      <c r="I92" s="1"/>
      <c r="J92" s="1"/>
      <c r="O92" s="12">
        <f t="shared" si="61"/>
        <v>9</v>
      </c>
      <c r="P92" s="11">
        <f t="shared" si="62"/>
        <v>28.537700665126152</v>
      </c>
      <c r="Q92" s="7">
        <f t="shared" si="63"/>
        <v>4.82561615162568E-2</v>
      </c>
      <c r="R92" s="8">
        <f t="shared" si="64"/>
        <v>3.4487412010632177</v>
      </c>
      <c r="S92" s="6">
        <f t="shared" si="50"/>
        <v>0</v>
      </c>
      <c r="T92" s="7">
        <f t="shared" si="47"/>
        <v>6.0931278761122476E-2</v>
      </c>
      <c r="U92" s="22">
        <f t="shared" si="65"/>
        <v>0</v>
      </c>
      <c r="V92" s="8">
        <f t="shared" si="52"/>
        <v>1.6151873074847563</v>
      </c>
      <c r="W92" s="8">
        <f t="shared" si="48"/>
        <v>2.1523853578683765</v>
      </c>
      <c r="X92" s="9">
        <f t="shared" si="66"/>
        <v>4.7581231419813352E-2</v>
      </c>
      <c r="Y92" s="10">
        <f t="shared" si="67"/>
        <v>1.2066694538398179</v>
      </c>
      <c r="Z92" s="8">
        <f t="shared" si="54"/>
        <v>31.897322762245746</v>
      </c>
      <c r="AA92" s="13">
        <f t="shared" si="68"/>
        <v>152.42796139198529</v>
      </c>
    </row>
    <row r="93" spans="9:27" x14ac:dyDescent="0.25">
      <c r="I93" s="1"/>
      <c r="J93" s="1"/>
      <c r="O93" s="12">
        <f t="shared" si="61"/>
        <v>9.5</v>
      </c>
      <c r="P93" s="11">
        <f t="shared" si="62"/>
        <v>29.303758490985146</v>
      </c>
      <c r="Q93" s="7">
        <f t="shared" si="63"/>
        <v>4.8942374633615955E-2</v>
      </c>
      <c r="R93" s="8">
        <f t="shared" si="64"/>
        <v>3.5475222875050547</v>
      </c>
      <c r="S93" s="6">
        <f t="shared" si="50"/>
        <v>0</v>
      </c>
      <c r="T93" s="7">
        <f t="shared" si="47"/>
        <v>6.0931278761122476E-2</v>
      </c>
      <c r="U93" s="22">
        <f t="shared" si="65"/>
        <v>0</v>
      </c>
      <c r="V93" s="8">
        <f t="shared" si="52"/>
        <v>1.6452815970563268</v>
      </c>
      <c r="W93" s="8">
        <f t="shared" si="48"/>
        <v>2.1409324497388509</v>
      </c>
      <c r="X93" s="9">
        <f t="shared" si="66"/>
        <v>4.3901272367004272E-2</v>
      </c>
      <c r="Y93" s="10">
        <f t="shared" si="67"/>
        <v>1.2238285560461244</v>
      </c>
      <c r="Z93" s="8">
        <f t="shared" si="54"/>
        <v>32.350909632820148</v>
      </c>
      <c r="AA93" s="13">
        <f t="shared" si="68"/>
        <v>166.88832618101313</v>
      </c>
    </row>
    <row r="94" spans="9:27" x14ac:dyDescent="0.25">
      <c r="I94" s="1"/>
      <c r="J94" s="1"/>
      <c r="O94" s="12">
        <f t="shared" si="61"/>
        <v>10</v>
      </c>
      <c r="P94" s="11">
        <f t="shared" si="62"/>
        <v>30.010568976093914</v>
      </c>
      <c r="Q94" s="7">
        <f t="shared" si="63"/>
        <v>4.957551564464182E-2</v>
      </c>
      <c r="R94" s="8">
        <f t="shared" si="64"/>
        <v>3.6399007238709782</v>
      </c>
      <c r="S94" s="6">
        <f t="shared" si="50"/>
        <v>0</v>
      </c>
      <c r="T94" s="7">
        <f t="shared" si="47"/>
        <v>6.0931278761122476E-2</v>
      </c>
      <c r="U94" s="22">
        <f t="shared" si="65"/>
        <v>0</v>
      </c>
      <c r="V94" s="8">
        <f t="shared" si="52"/>
        <v>1.6734252783449703</v>
      </c>
      <c r="W94" s="8">
        <f t="shared" si="48"/>
        <v>2.1302923206567623</v>
      </c>
      <c r="X94" s="9">
        <f t="shared" si="66"/>
        <v>4.046607476106704E-2</v>
      </c>
      <c r="Y94" s="10">
        <f t="shared" si="67"/>
        <v>1.2396605636897657</v>
      </c>
      <c r="Z94" s="8">
        <f t="shared" si="54"/>
        <v>32.769415841108241</v>
      </c>
      <c r="AA94" s="13">
        <f t="shared" si="68"/>
        <v>181.71690804778288</v>
      </c>
    </row>
    <row r="95" spans="9:27" x14ac:dyDescent="0.25">
      <c r="I95" s="1"/>
      <c r="J95" s="1"/>
      <c r="O95" s="12">
        <f t="shared" si="61"/>
        <v>10.5</v>
      </c>
      <c r="P95" s="11">
        <f t="shared" si="62"/>
        <v>30.662072779747092</v>
      </c>
      <c r="Q95" s="7">
        <f t="shared" si="63"/>
        <v>5.0159114481420089E-2</v>
      </c>
      <c r="R95" s="8">
        <f t="shared" si="64"/>
        <v>3.7261023497946661</v>
      </c>
      <c r="S95" s="6">
        <f t="shared" si="50"/>
        <v>0</v>
      </c>
      <c r="T95" s="7">
        <f t="shared" si="47"/>
        <v>6.0931278761122476E-2</v>
      </c>
      <c r="U95" s="22">
        <f t="shared" si="65"/>
        <v>0</v>
      </c>
      <c r="V95" s="8">
        <f t="shared" si="52"/>
        <v>1.6996871548390613</v>
      </c>
      <c r="W95" s="8">
        <f t="shared" si="48"/>
        <v>2.1204227125554223</v>
      </c>
      <c r="X95" s="9">
        <f t="shared" si="66"/>
        <v>3.7265801549261943E-2</v>
      </c>
      <c r="Y95" s="10">
        <f t="shared" si="67"/>
        <v>1.2542537444880262</v>
      </c>
      <c r="Z95" s="8">
        <f t="shared" si="54"/>
        <v>33.155174672218678</v>
      </c>
      <c r="AA95" s="13">
        <f t="shared" si="68"/>
        <v>196.88506848674314</v>
      </c>
    </row>
    <row r="96" spans="9:27" x14ac:dyDescent="0.25">
      <c r="I96" s="1"/>
      <c r="J96" s="1"/>
      <c r="O96" s="12">
        <f t="shared" si="61"/>
        <v>11</v>
      </c>
      <c r="P96" s="11">
        <f t="shared" si="62"/>
        <v>31.262052184690209</v>
      </c>
      <c r="Q96" s="7">
        <f t="shared" si="63"/>
        <v>5.069655920676526E-2</v>
      </c>
      <c r="R96" s="8">
        <f t="shared" si="64"/>
        <v>3.8063789919148872</v>
      </c>
      <c r="S96" s="6">
        <f t="shared" si="50"/>
        <v>0</v>
      </c>
      <c r="T96" s="7">
        <f t="shared" si="47"/>
        <v>6.0931278761122476E-2</v>
      </c>
      <c r="U96" s="22">
        <f t="shared" si="65"/>
        <v>0</v>
      </c>
      <c r="V96" s="8">
        <f t="shared" si="52"/>
        <v>1.7241439471342317</v>
      </c>
      <c r="W96" s="8">
        <f t="shared" si="48"/>
        <v>2.1112809968608905</v>
      </c>
      <c r="X96" s="9">
        <f t="shared" si="66"/>
        <v>3.4289881620146706E-2</v>
      </c>
      <c r="Y96" s="10">
        <f t="shared" si="67"/>
        <v>1.2676928186461078</v>
      </c>
      <c r="Z96" s="8">
        <f t="shared" si="54"/>
        <v>33.510425635671837</v>
      </c>
      <c r="AA96" s="13">
        <f t="shared" si="68"/>
        <v>212.36609972785246</v>
      </c>
    </row>
    <row r="97" spans="9:27" x14ac:dyDescent="0.25">
      <c r="I97" s="1"/>
      <c r="J97" s="1"/>
      <c r="O97" s="12">
        <f t="shared" si="61"/>
        <v>11.5</v>
      </c>
      <c r="P97" s="11">
        <f t="shared" si="62"/>
        <v>31.814119278774569</v>
      </c>
      <c r="Q97" s="7">
        <f t="shared" si="63"/>
        <v>5.1191085427678466E-2</v>
      </c>
      <c r="R97" s="8">
        <f t="shared" si="64"/>
        <v>3.8810008235777982</v>
      </c>
      <c r="S97" s="6">
        <f t="shared" si="50"/>
        <v>0</v>
      </c>
      <c r="T97" s="7">
        <f t="shared" si="47"/>
        <v>6.0931278761122476E-2</v>
      </c>
      <c r="U97" s="22">
        <f t="shared" si="65"/>
        <v>0</v>
      </c>
      <c r="V97" s="8">
        <f t="shared" si="52"/>
        <v>1.7468779652678237</v>
      </c>
      <c r="W97" s="8">
        <f t="shared" si="48"/>
        <v>2.1028247120679042</v>
      </c>
      <c r="X97" s="9">
        <f t="shared" si="66"/>
        <v>3.1527263586548469E-2</v>
      </c>
      <c r="Y97" s="10">
        <f t="shared" si="67"/>
        <v>1.2800586941353504</v>
      </c>
      <c r="Z97" s="8">
        <f t="shared" si="54"/>
        <v>33.837307467695467</v>
      </c>
      <c r="AA97" s="13">
        <f t="shared" si="68"/>
        <v>228.13514259371865</v>
      </c>
    </row>
    <row r="98" spans="9:27" x14ac:dyDescent="0.25">
      <c r="I98" s="1"/>
      <c r="J98" s="1"/>
      <c r="O98" s="12">
        <f t="shared" si="61"/>
        <v>12</v>
      </c>
      <c r="P98" s="11">
        <f t="shared" si="62"/>
        <v>32.321708222517998</v>
      </c>
      <c r="Q98" s="7">
        <f t="shared" si="63"/>
        <v>5.1645769368845247E-2</v>
      </c>
      <c r="R98" s="8">
        <f t="shared" si="64"/>
        <v>3.9502498161696318</v>
      </c>
      <c r="S98" s="6">
        <f t="shared" si="50"/>
        <v>0</v>
      </c>
      <c r="T98" s="7">
        <f t="shared" si="47"/>
        <v>6.0931278761122476E-2</v>
      </c>
      <c r="U98" s="22">
        <f t="shared" si="65"/>
        <v>0</v>
      </c>
      <c r="V98" s="8">
        <f t="shared" si="52"/>
        <v>1.7679751136255233</v>
      </c>
      <c r="W98" s="8">
        <f t="shared" si="48"/>
        <v>2.0950120069066211</v>
      </c>
      <c r="X98" s="9">
        <f t="shared" si="66"/>
        <v>2.8966631749524286E-2</v>
      </c>
      <c r="Y98" s="10">
        <f t="shared" si="67"/>
        <v>1.2914282934925769</v>
      </c>
      <c r="Z98" s="8">
        <f t="shared" si="54"/>
        <v>34.13785355280671</v>
      </c>
      <c r="AA98" s="13">
        <f t="shared" si="68"/>
        <v>244.16909946904178</v>
      </c>
    </row>
    <row r="99" spans="9:27" ht="15.75" thickBot="1" x14ac:dyDescent="0.3">
      <c r="I99" s="1"/>
      <c r="J99" s="1"/>
      <c r="O99" s="14">
        <f t="shared" si="61"/>
        <v>12.5</v>
      </c>
      <c r="P99" s="20">
        <f t="shared" si="62"/>
        <v>32.788070993685338</v>
      </c>
      <c r="Q99" s="15">
        <f t="shared" si="63"/>
        <v>5.2063524060750065E-2</v>
      </c>
      <c r="R99" s="16">
        <f t="shared" si="64"/>
        <v>4.0144142062215895</v>
      </c>
      <c r="S99" s="28">
        <f t="shared" si="50"/>
        <v>0</v>
      </c>
      <c r="T99" s="15">
        <f t="shared" si="47"/>
        <v>6.0931278761122476E-2</v>
      </c>
      <c r="U99" s="29">
        <f t="shared" si="65"/>
        <v>0</v>
      </c>
      <c r="V99" s="8">
        <f t="shared" si="52"/>
        <v>1.7875232053094894</v>
      </c>
      <c r="W99" s="8">
        <f t="shared" si="48"/>
        <v>2.0878019980465985</v>
      </c>
      <c r="X99" s="17">
        <f t="shared" si="66"/>
        <v>2.6596587082703613E-2</v>
      </c>
      <c r="Y99" s="18">
        <f t="shared" si="67"/>
        <v>1.3018744585019921</v>
      </c>
      <c r="Z99" s="8">
        <f t="shared" si="54"/>
        <v>34.413989404155792</v>
      </c>
      <c r="AA99" s="19">
        <f t="shared" si="68"/>
        <v>260.44654427309263</v>
      </c>
    </row>
    <row r="100" spans="9:27" ht="15.75" thickBot="1" x14ac:dyDescent="0.3">
      <c r="I100" s="1"/>
      <c r="J100" s="1"/>
      <c r="O100" s="14">
        <f t="shared" si="61"/>
        <v>13</v>
      </c>
      <c r="P100" s="20">
        <f t="shared" ref="P100:P111" si="69">P99+32.2*X99*(O100-O99)</f>
        <v>33.216276045716867</v>
      </c>
      <c r="Q100" s="15">
        <f t="shared" ref="Q100:Q111" si="70">Z100/661</f>
        <v>5.2447098137934134E-2</v>
      </c>
      <c r="R100" s="16">
        <f t="shared" ref="R100:R111" si="71">1481*Q100^2</f>
        <v>4.0737838906764292</v>
      </c>
      <c r="S100" s="28">
        <f t="shared" si="50"/>
        <v>0</v>
      </c>
      <c r="T100" s="15">
        <f t="shared" ref="T100:T111" si="72">IF(S100&lt;$P$8,S100^2/(PI()*$P$12)+$P$11,99.999)</f>
        <v>6.0931278761122476E-2</v>
      </c>
      <c r="U100" s="29">
        <f t="shared" ref="U100:U111" si="73">S100*R100*$P$13</f>
        <v>0</v>
      </c>
      <c r="V100" s="8">
        <f t="shared" ref="V100:V111" si="74">IF(T100="","",R100*T100*$P$13+$U$12*($P$10-U100))</f>
        <v>1.8056105592768779</v>
      </c>
      <c r="W100" s="8">
        <f t="shared" si="48"/>
        <v>2.0811550516421913</v>
      </c>
      <c r="X100" s="17">
        <f t="shared" ref="X100:X111" si="75">IF(T100="","",(W100-V100)/$P$10)</f>
        <v>2.4405796425222344E-2</v>
      </c>
      <c r="Y100" s="18">
        <f t="shared" ref="Y100:Y111" si="76">Q100/$U$9</f>
        <v>1.3114659201450176</v>
      </c>
      <c r="Z100" s="8">
        <f t="shared" ref="Z100:Z111" si="77">P100*3600/6080+$P$14</f>
        <v>34.667531869174461</v>
      </c>
      <c r="AA100" s="19">
        <f t="shared" ref="AA100:AA111" si="78">AA99+(P100+P99)/2*(O100-O99)</f>
        <v>276.94763103294315</v>
      </c>
    </row>
    <row r="101" spans="9:27" ht="15.75" thickBot="1" x14ac:dyDescent="0.3">
      <c r="I101" s="1"/>
      <c r="J101" s="1"/>
      <c r="O101" s="14">
        <f t="shared" si="61"/>
        <v>13.5</v>
      </c>
      <c r="P101" s="20">
        <f t="shared" si="69"/>
        <v>33.609209368162944</v>
      </c>
      <c r="Q101" s="15">
        <f t="shared" si="70"/>
        <v>5.2799076788903027E-2</v>
      </c>
      <c r="R101" s="16">
        <f t="shared" si="71"/>
        <v>4.1286466569552687</v>
      </c>
      <c r="S101" s="28">
        <f t="shared" si="50"/>
        <v>0</v>
      </c>
      <c r="T101" s="15">
        <f t="shared" si="72"/>
        <v>6.0931278761122476E-2</v>
      </c>
      <c r="U101" s="29">
        <f t="shared" si="73"/>
        <v>0</v>
      </c>
      <c r="V101" s="8">
        <f t="shared" si="74"/>
        <v>1.8223248518055892</v>
      </c>
      <c r="W101" s="8">
        <f t="shared" si="48"/>
        <v>2.0750329979860234</v>
      </c>
      <c r="X101" s="17">
        <f t="shared" si="75"/>
        <v>2.2383113223319862E-2</v>
      </c>
      <c r="Y101" s="18">
        <f t="shared" si="76"/>
        <v>1.3202673223532067</v>
      </c>
      <c r="Z101" s="8">
        <f t="shared" si="77"/>
        <v>34.900189757464901</v>
      </c>
      <c r="AA101" s="19">
        <f t="shared" si="78"/>
        <v>293.65400238641308</v>
      </c>
    </row>
    <row r="102" spans="9:27" ht="15.75" thickBot="1" x14ac:dyDescent="0.3">
      <c r="I102" s="1"/>
      <c r="J102" s="1"/>
      <c r="O102" s="14">
        <f t="shared" si="61"/>
        <v>14</v>
      </c>
      <c r="P102" s="20">
        <f t="shared" si="69"/>
        <v>33.969577491058395</v>
      </c>
      <c r="Q102" s="15">
        <f t="shared" si="70"/>
        <v>5.3121884447361004E-2</v>
      </c>
      <c r="R102" s="16">
        <f t="shared" si="71"/>
        <v>4.1792851533206257</v>
      </c>
      <c r="S102" s="28">
        <f t="shared" si="50"/>
        <v>0</v>
      </c>
      <c r="T102" s="15">
        <f t="shared" si="72"/>
        <v>6.0931278761122476E-2</v>
      </c>
      <c r="U102" s="29">
        <f t="shared" si="73"/>
        <v>0</v>
      </c>
      <c r="V102" s="8">
        <f t="shared" si="74"/>
        <v>1.8377521934959975</v>
      </c>
      <c r="W102" s="8">
        <f t="shared" si="48"/>
        <v>2.0693992882097758</v>
      </c>
      <c r="X102" s="17">
        <f t="shared" si="75"/>
        <v>2.0517673162500707E-2</v>
      </c>
      <c r="Y102" s="18">
        <f t="shared" si="76"/>
        <v>1.3283392893039052</v>
      </c>
      <c r="Z102" s="8">
        <f t="shared" si="77"/>
        <v>35.113565619705625</v>
      </c>
      <c r="AA102" s="19">
        <f t="shared" si="78"/>
        <v>310.5486991012184</v>
      </c>
    </row>
    <row r="103" spans="9:27" ht="15.75" thickBot="1" x14ac:dyDescent="0.3">
      <c r="I103" s="1"/>
      <c r="J103" s="1"/>
      <c r="O103" s="14">
        <f t="shared" si="61"/>
        <v>14.5</v>
      </c>
      <c r="P103" s="20">
        <f t="shared" si="69"/>
        <v>34.29991202897466</v>
      </c>
      <c r="Q103" s="15">
        <f t="shared" si="70"/>
        <v>5.3417788862645511E-2</v>
      </c>
      <c r="R103" s="16">
        <f t="shared" si="71"/>
        <v>4.2259745072887531</v>
      </c>
      <c r="S103" s="28">
        <f t="shared" si="50"/>
        <v>0</v>
      </c>
      <c r="T103" s="15">
        <f t="shared" si="72"/>
        <v>6.0931278761122476E-2</v>
      </c>
      <c r="U103" s="29">
        <f t="shared" si="73"/>
        <v>0</v>
      </c>
      <c r="V103" s="8">
        <f t="shared" si="74"/>
        <v>1.8519764037050412</v>
      </c>
      <c r="W103" s="8">
        <f t="shared" si="48"/>
        <v>2.0642191014433076</v>
      </c>
      <c r="X103" s="17">
        <f t="shared" si="75"/>
        <v>1.8798967924470836E-2</v>
      </c>
      <c r="Y103" s="18">
        <f t="shared" si="76"/>
        <v>1.3357385272035018</v>
      </c>
      <c r="Z103" s="8">
        <f t="shared" si="77"/>
        <v>35.309158438208684</v>
      </c>
      <c r="AA103" s="19">
        <f t="shared" si="78"/>
        <v>327.61607148122664</v>
      </c>
    </row>
    <row r="104" spans="9:27" ht="15.75" thickBot="1" x14ac:dyDescent="0.3">
      <c r="I104" s="1"/>
      <c r="J104" s="1"/>
      <c r="O104" s="14">
        <f t="shared" si="61"/>
        <v>15</v>
      </c>
      <c r="P104" s="20">
        <f t="shared" si="69"/>
        <v>34.602575412558643</v>
      </c>
      <c r="Q104" s="15">
        <f t="shared" si="70"/>
        <v>5.3688906233878869E-2</v>
      </c>
      <c r="R104" s="16">
        <f t="shared" si="71"/>
        <v>4.2689805044861417</v>
      </c>
      <c r="S104" s="28">
        <f t="shared" si="50"/>
        <v>0</v>
      </c>
      <c r="T104" s="15">
        <f t="shared" si="72"/>
        <v>6.0931278761122476E-2</v>
      </c>
      <c r="U104" s="29">
        <f t="shared" si="73"/>
        <v>0</v>
      </c>
      <c r="V104" s="8">
        <f t="shared" si="74"/>
        <v>1.8650784557232118</v>
      </c>
      <c r="W104" s="8">
        <f t="shared" si="48"/>
        <v>2.0594594101869594</v>
      </c>
      <c r="X104" s="17">
        <f t="shared" si="75"/>
        <v>1.7216900119684023E-2</v>
      </c>
      <c r="Y104" s="18">
        <f t="shared" si="76"/>
        <v>1.3425179526694588</v>
      </c>
      <c r="Z104" s="8">
        <f t="shared" si="77"/>
        <v>35.488367020593934</v>
      </c>
      <c r="AA104" s="19">
        <f t="shared" si="78"/>
        <v>344.84169334160998</v>
      </c>
    </row>
    <row r="105" spans="9:27" ht="15.75" thickBot="1" x14ac:dyDescent="0.3">
      <c r="I105" s="1"/>
      <c r="J105" s="1"/>
      <c r="O105" s="14">
        <f t="shared" si="61"/>
        <v>15.5</v>
      </c>
      <c r="P105" s="20">
        <f t="shared" si="69"/>
        <v>34.879767504485557</v>
      </c>
      <c r="Q105" s="15">
        <f t="shared" si="70"/>
        <v>5.3937207136353409E-2</v>
      </c>
      <c r="R105" s="16">
        <f t="shared" si="71"/>
        <v>4.3085582465451111</v>
      </c>
      <c r="S105" s="28">
        <f t="shared" si="50"/>
        <v>0</v>
      </c>
      <c r="T105" s="15">
        <f t="shared" si="72"/>
        <v>6.0931278761122476E-2</v>
      </c>
      <c r="U105" s="29">
        <f t="shared" si="73"/>
        <v>0</v>
      </c>
      <c r="V105" s="8">
        <f t="shared" si="74"/>
        <v>1.8771360678938662</v>
      </c>
      <c r="W105" s="8">
        <f t="shared" si="48"/>
        <v>2.0550890109253999</v>
      </c>
      <c r="X105" s="17">
        <f t="shared" si="75"/>
        <v>1.5761822214681736E-2</v>
      </c>
      <c r="Y105" s="18">
        <f t="shared" si="76"/>
        <v>1.3487268409225361</v>
      </c>
      <c r="Z105" s="8">
        <f t="shared" si="77"/>
        <v>35.652493917129604</v>
      </c>
      <c r="AA105" s="19">
        <f t="shared" si="78"/>
        <v>362.21227907087103</v>
      </c>
    </row>
    <row r="106" spans="9:27" ht="15.75" thickBot="1" x14ac:dyDescent="0.3">
      <c r="I106" s="1"/>
      <c r="J106" s="1"/>
      <c r="O106" s="14">
        <f t="shared" si="61"/>
        <v>16</v>
      </c>
      <c r="P106" s="20">
        <f t="shared" si="69"/>
        <v>35.133532842141932</v>
      </c>
      <c r="Q106" s="15">
        <f t="shared" si="70"/>
        <v>5.4164523009323721E-2</v>
      </c>
      <c r="R106" s="16">
        <f t="shared" si="71"/>
        <v>4.3449512137376143</v>
      </c>
      <c r="S106" s="28">
        <f t="shared" si="50"/>
        <v>0</v>
      </c>
      <c r="T106" s="15">
        <f t="shared" si="72"/>
        <v>6.0931278761122476E-2</v>
      </c>
      <c r="U106" s="29">
        <f t="shared" si="73"/>
        <v>0</v>
      </c>
      <c r="V106" s="8">
        <f t="shared" si="74"/>
        <v>1.8882234180386201</v>
      </c>
      <c r="W106" s="8">
        <f t="shared" ref="W106:W134" si="79">$P$9*($G$34*Z106^2+$G$35*Z106+$G$36)</f>
        <v>2.0510785262589848</v>
      </c>
      <c r="X106" s="17">
        <f t="shared" si="75"/>
        <v>1.442456201506756E-2</v>
      </c>
      <c r="Y106" s="18">
        <f t="shared" si="76"/>
        <v>1.3544109880172817</v>
      </c>
      <c r="Z106" s="8">
        <f t="shared" si="77"/>
        <v>35.802749709162981</v>
      </c>
      <c r="AA106" s="19">
        <f t="shared" si="78"/>
        <v>379.71560415752788</v>
      </c>
    </row>
    <row r="107" spans="9:27" ht="15.75" thickBot="1" x14ac:dyDescent="0.3">
      <c r="I107" s="1"/>
      <c r="J107" s="1"/>
      <c r="O107" s="14">
        <f t="shared" si="61"/>
        <v>16.5</v>
      </c>
      <c r="P107" s="20">
        <f t="shared" si="69"/>
        <v>35.365768290584519</v>
      </c>
      <c r="Q107" s="15">
        <f t="shared" si="70"/>
        <v>5.437255301131267E-2</v>
      </c>
      <c r="R107" s="16">
        <f t="shared" si="71"/>
        <v>4.378390665553618</v>
      </c>
      <c r="S107" s="28">
        <f t="shared" si="50"/>
        <v>0</v>
      </c>
      <c r="T107" s="15">
        <f t="shared" si="72"/>
        <v>6.0931278761122476E-2</v>
      </c>
      <c r="U107" s="29">
        <f t="shared" si="73"/>
        <v>0</v>
      </c>
      <c r="V107" s="8">
        <f t="shared" si="74"/>
        <v>1.8984109608397204</v>
      </c>
      <c r="W107" s="8">
        <f t="shared" si="79"/>
        <v>2.0474003840829043</v>
      </c>
      <c r="X107" s="17">
        <f t="shared" si="75"/>
        <v>1.3196436996329436E-2</v>
      </c>
      <c r="Y107" s="18">
        <f t="shared" si="76"/>
        <v>1.3596128822623874</v>
      </c>
      <c r="Z107" s="8">
        <f t="shared" si="77"/>
        <v>35.940257540477674</v>
      </c>
      <c r="AA107" s="19">
        <f t="shared" si="78"/>
        <v>397.3404294407095</v>
      </c>
    </row>
    <row r="108" spans="9:27" ht="15.75" thickBot="1" x14ac:dyDescent="0.3">
      <c r="I108" s="1"/>
      <c r="J108" s="1"/>
      <c r="O108" s="14">
        <f t="shared" si="61"/>
        <v>17</v>
      </c>
      <c r="P108" s="20">
        <f t="shared" si="69"/>
        <v>35.578230926225423</v>
      </c>
      <c r="Q108" s="15">
        <f t="shared" si="70"/>
        <v>5.4562871082095392E-2</v>
      </c>
      <c r="R108" s="16">
        <f t="shared" si="71"/>
        <v>4.409095319968336</v>
      </c>
      <c r="S108" s="28">
        <f t="shared" si="50"/>
        <v>0</v>
      </c>
      <c r="T108" s="15">
        <f t="shared" si="72"/>
        <v>6.0931278761122476E-2</v>
      </c>
      <c r="U108" s="29">
        <f t="shared" si="73"/>
        <v>0</v>
      </c>
      <c r="V108" s="8">
        <f t="shared" si="74"/>
        <v>1.9077653301267556</v>
      </c>
      <c r="W108" s="8">
        <f t="shared" si="79"/>
        <v>2.0440287786286975</v>
      </c>
      <c r="X108" s="17">
        <f t="shared" si="75"/>
        <v>1.2069259507927666E-2</v>
      </c>
      <c r="Y108" s="18">
        <f t="shared" si="76"/>
        <v>1.3643718808091299</v>
      </c>
      <c r="Z108" s="8">
        <f t="shared" si="77"/>
        <v>36.066057785265052</v>
      </c>
      <c r="AA108" s="19">
        <f t="shared" si="78"/>
        <v>415.07642924491199</v>
      </c>
    </row>
    <row r="109" spans="9:27" ht="15.75" thickBot="1" x14ac:dyDescent="0.3">
      <c r="I109" s="1"/>
      <c r="J109" s="1"/>
      <c r="O109" s="14">
        <f t="shared" si="61"/>
        <v>17.5</v>
      </c>
      <c r="P109" s="20">
        <f t="shared" si="69"/>
        <v>35.772546004303059</v>
      </c>
      <c r="Q109" s="15">
        <f t="shared" si="70"/>
        <v>5.4736933079736406E-2</v>
      </c>
      <c r="R109" s="16">
        <f t="shared" si="71"/>
        <v>4.4372712594467769</v>
      </c>
      <c r="S109" s="28">
        <f t="shared" si="50"/>
        <v>0</v>
      </c>
      <c r="T109" s="15">
        <f t="shared" si="72"/>
        <v>6.0931278761122476E-2</v>
      </c>
      <c r="U109" s="29">
        <f t="shared" si="73"/>
        <v>0</v>
      </c>
      <c r="V109" s="8">
        <f t="shared" si="74"/>
        <v>1.9163493102403428</v>
      </c>
      <c r="W109" s="8">
        <f t="shared" si="79"/>
        <v>2.0409396175123051</v>
      </c>
      <c r="X109" s="17">
        <f t="shared" si="75"/>
        <v>1.1035334619586789E-2</v>
      </c>
      <c r="Y109" s="18">
        <f t="shared" si="76"/>
        <v>1.3687243881165541</v>
      </c>
      <c r="Z109" s="8">
        <f t="shared" si="77"/>
        <v>36.181112765705763</v>
      </c>
      <c r="AA109" s="19">
        <f t="shared" si="78"/>
        <v>432.91412347754414</v>
      </c>
    </row>
    <row r="110" spans="9:27" ht="15.75" thickBot="1" x14ac:dyDescent="0.3">
      <c r="I110" s="1"/>
      <c r="J110" s="1"/>
      <c r="O110" s="14">
        <f t="shared" si="61"/>
        <v>18</v>
      </c>
      <c r="P110" s="20">
        <f t="shared" si="69"/>
        <v>35.950214891678407</v>
      </c>
      <c r="Q110" s="15">
        <f t="shared" si="70"/>
        <v>5.4896083886565965E-2</v>
      </c>
      <c r="R110" s="16">
        <f t="shared" si="71"/>
        <v>4.463112018625794</v>
      </c>
      <c r="S110" s="28">
        <f t="shared" si="50"/>
        <v>0</v>
      </c>
      <c r="T110" s="15">
        <f t="shared" si="72"/>
        <v>6.0931278761122476E-2</v>
      </c>
      <c r="U110" s="29">
        <f t="shared" si="73"/>
        <v>0</v>
      </c>
      <c r="V110" s="8">
        <f t="shared" si="74"/>
        <v>1.9242218627450216</v>
      </c>
      <c r="W110" s="8">
        <f t="shared" si="79"/>
        <v>2.0381104583170933</v>
      </c>
      <c r="X110" s="17">
        <f t="shared" si="75"/>
        <v>1.0087452138224479E-2</v>
      </c>
      <c r="Y110" s="18">
        <f t="shared" si="76"/>
        <v>1.3727040336399654</v>
      </c>
      <c r="Z110" s="8">
        <f t="shared" si="77"/>
        <v>36.286311449020104</v>
      </c>
      <c r="AA110" s="19">
        <f t="shared" si="78"/>
        <v>450.84481370153952</v>
      </c>
    </row>
    <row r="111" spans="9:27" ht="15.75" thickBot="1" x14ac:dyDescent="0.3">
      <c r="I111" s="1"/>
      <c r="J111" s="1"/>
      <c r="O111" s="14">
        <f t="shared" si="61"/>
        <v>18.5</v>
      </c>
      <c r="P111" s="20">
        <f t="shared" si="69"/>
        <v>36.112622871103824</v>
      </c>
      <c r="Q111" s="15">
        <f t="shared" si="70"/>
        <v>5.5041564400025327E-2</v>
      </c>
      <c r="R111" s="16">
        <f t="shared" si="71"/>
        <v>4.4867988149827625</v>
      </c>
      <c r="S111" s="28">
        <f t="shared" si="50"/>
        <v>0</v>
      </c>
      <c r="T111" s="15">
        <f t="shared" si="72"/>
        <v>6.0931278761122476E-2</v>
      </c>
      <c r="U111" s="29">
        <f t="shared" si="73"/>
        <v>0</v>
      </c>
      <c r="V111" s="8">
        <f t="shared" si="74"/>
        <v>1.9314381967039433</v>
      </c>
      <c r="W111" s="8">
        <f t="shared" si="79"/>
        <v>2.0355204376838287</v>
      </c>
      <c r="X111" s="17">
        <f t="shared" si="75"/>
        <v>9.2188741028009329E-3</v>
      </c>
      <c r="Y111" s="18">
        <f t="shared" si="76"/>
        <v>1.3763418466405126</v>
      </c>
      <c r="Z111" s="8">
        <f t="shared" si="77"/>
        <v>36.382474068416741</v>
      </c>
      <c r="AA111" s="19">
        <f t="shared" si="78"/>
        <v>468.86052314223508</v>
      </c>
    </row>
    <row r="112" spans="9:27" ht="15.75" thickBot="1" x14ac:dyDescent="0.3">
      <c r="I112" s="1"/>
      <c r="J112" s="1"/>
      <c r="O112" s="14">
        <f t="shared" si="61"/>
        <v>19</v>
      </c>
      <c r="P112" s="20">
        <f t="shared" ref="P112:P114" si="80">P111+32.2*X111*(O112-O111)</f>
        <v>36.261046744158918</v>
      </c>
      <c r="Q112" s="15">
        <f t="shared" ref="Q112:Q114" si="81">Z112/661</f>
        <v>5.5174518343163302E-2</v>
      </c>
      <c r="R112" s="16">
        <f t="shared" ref="R112:R114" si="82">1481*Q112^2</f>
        <v>4.508500889586494</v>
      </c>
      <c r="S112" s="28">
        <f t="shared" si="50"/>
        <v>0</v>
      </c>
      <c r="T112" s="15">
        <f t="shared" ref="T112:T114" si="83">IF(S112&lt;$P$8,S112^2/(PI()*$P$12)+$P$11,99.999)</f>
        <v>6.0931278761122476E-2</v>
      </c>
      <c r="U112" s="29">
        <f t="shared" ref="U112:U114" si="84">S112*R112*$P$13</f>
        <v>0</v>
      </c>
      <c r="V112" s="8">
        <f t="shared" ref="V112:V114" si="85">IF(T112="","",R112*T112*$P$13+$U$12*($P$10-U112))</f>
        <v>1.9380498724908164</v>
      </c>
      <c r="W112" s="8">
        <f t="shared" si="79"/>
        <v>2.0331501953836262</v>
      </c>
      <c r="X112" s="17">
        <f t="shared" ref="X112:X114" si="86">IF(T112="","",(W112-V112)/$P$10)</f>
        <v>8.4233188643004202E-3</v>
      </c>
      <c r="Y112" s="18">
        <f t="shared" ref="Y112:Y114" si="87">Q112/$U$9</f>
        <v>1.3796664264850595</v>
      </c>
      <c r="Z112" s="8">
        <f t="shared" ref="Z112:Z114" si="88">P112*3600/6080+$P$14</f>
        <v>36.470356624830941</v>
      </c>
      <c r="AA112" s="19">
        <f t="shared" ref="AA112:AA114" si="89">AA111+(P112+P111)/2*(O112-O111)</f>
        <v>486.95394054605077</v>
      </c>
    </row>
    <row r="113" spans="9:27" ht="15.75" thickBot="1" x14ac:dyDescent="0.3">
      <c r="I113" s="1"/>
      <c r="J113" s="1"/>
      <c r="O113" s="14">
        <f t="shared" si="61"/>
        <v>19.5</v>
      </c>
      <c r="P113" s="20">
        <f t="shared" si="80"/>
        <v>36.396662177874155</v>
      </c>
      <c r="Q113" s="15">
        <f t="shared" si="81"/>
        <v>5.5295998845535814E-2</v>
      </c>
      <c r="R113" s="16">
        <f t="shared" si="82"/>
        <v>4.5283759302100632</v>
      </c>
      <c r="S113" s="28">
        <f t="shared" si="50"/>
        <v>0</v>
      </c>
      <c r="T113" s="15">
        <f t="shared" si="83"/>
        <v>6.0931278761122476E-2</v>
      </c>
      <c r="U113" s="29">
        <f t="shared" si="84"/>
        <v>0</v>
      </c>
      <c r="V113" s="8">
        <f t="shared" si="85"/>
        <v>1.9441049306939333</v>
      </c>
      <c r="W113" s="8">
        <f t="shared" si="79"/>
        <v>2.0309817954131173</v>
      </c>
      <c r="X113" s="17">
        <f t="shared" si="86"/>
        <v>7.6949426794817588E-3</v>
      </c>
      <c r="Y113" s="18">
        <f t="shared" si="87"/>
        <v>1.3827041072048707</v>
      </c>
      <c r="Z113" s="8">
        <f t="shared" si="88"/>
        <v>36.550655236899175</v>
      </c>
      <c r="AA113" s="19">
        <f t="shared" si="89"/>
        <v>505.11836777655901</v>
      </c>
    </row>
    <row r="114" spans="9:27" ht="15.75" thickBot="1" x14ac:dyDescent="0.3">
      <c r="I114" s="1"/>
      <c r="J114" s="1"/>
      <c r="O114" s="14">
        <f t="shared" si="61"/>
        <v>20</v>
      </c>
      <c r="P114" s="20">
        <f t="shared" si="80"/>
        <v>36.520550755013815</v>
      </c>
      <c r="Q114" s="15">
        <f t="shared" si="81"/>
        <v>5.5406974758651605E-2</v>
      </c>
      <c r="R114" s="16">
        <f t="shared" si="82"/>
        <v>4.5465705536725727</v>
      </c>
      <c r="S114" s="28">
        <f t="shared" si="50"/>
        <v>0</v>
      </c>
      <c r="T114" s="15">
        <f t="shared" si="83"/>
        <v>6.0931278761122476E-2</v>
      </c>
      <c r="U114" s="29">
        <f t="shared" si="84"/>
        <v>0</v>
      </c>
      <c r="V114" s="8">
        <f t="shared" si="85"/>
        <v>1.9496480390646724</v>
      </c>
      <c r="W114" s="8">
        <f t="shared" si="79"/>
        <v>2.0289986457706761</v>
      </c>
      <c r="X114" s="17">
        <f t="shared" si="86"/>
        <v>7.028319589553144E-3</v>
      </c>
      <c r="Y114" s="18">
        <f t="shared" si="87"/>
        <v>1.3854791154164894</v>
      </c>
      <c r="Z114" s="8">
        <f t="shared" si="88"/>
        <v>36.624010315468709</v>
      </c>
      <c r="AA114" s="19">
        <f t="shared" si="89"/>
        <v>523.34767100978104</v>
      </c>
    </row>
    <row r="115" spans="9:27" ht="15.75" thickBot="1" x14ac:dyDescent="0.3">
      <c r="I115" s="1"/>
      <c r="J115" s="1"/>
      <c r="O115" s="14">
        <f t="shared" si="61"/>
        <v>20.5</v>
      </c>
      <c r="P115" s="20">
        <f t="shared" ref="P115:P134" si="90">P114+32.2*X114*(O115-O114)</f>
        <v>36.633706700405618</v>
      </c>
      <c r="Q115" s="15">
        <f t="shared" ref="Q115:Q134" si="91">Z115/661</f>
        <v>5.5508336681229654E-2</v>
      </c>
      <c r="R115" s="16">
        <f t="shared" ref="R115:R134" si="92">1481*Q115^2</f>
        <v>4.5632208282938995</v>
      </c>
      <c r="S115" s="28">
        <f t="shared" si="50"/>
        <v>0</v>
      </c>
      <c r="T115" s="15">
        <f t="shared" ref="T115:T134" si="93">IF(S115&lt;$P$8,S115^2/(PI()*$P$12)+$P$11,99.999)</f>
        <v>6.0931278761122476E-2</v>
      </c>
      <c r="U115" s="29">
        <f t="shared" ref="U115:U134" si="94">S115*R115*$P$13</f>
        <v>0</v>
      </c>
      <c r="V115" s="8">
        <f t="shared" ref="V115:V134" si="95">IF(T115="","",R115*T115*$P$13+$U$12*($P$10-U115))</f>
        <v>1.9547206516866791</v>
      </c>
      <c r="W115" s="8">
        <f t="shared" si="79"/>
        <v>2.0271854182443354</v>
      </c>
      <c r="X115" s="17">
        <f t="shared" ref="X115:X134" si="96">IF(T115="","",(W115-V115)/$P$10)</f>
        <v>6.418420217460509E-3</v>
      </c>
      <c r="Y115" s="18">
        <f t="shared" ref="Y115:Y134" si="97">Q115/$U$9</f>
        <v>1.3880137209863128</v>
      </c>
      <c r="Z115" s="8">
        <f t="shared" ref="Z115:Z134" si="98">P115*3600/6080+$P$14</f>
        <v>36.691010546292802</v>
      </c>
      <c r="AA115" s="19">
        <f t="shared" ref="AA115:AA134" si="99">AA114+(P115+P114)/2*(O115-O114)</f>
        <v>541.63623537363594</v>
      </c>
    </row>
    <row r="116" spans="9:27" ht="15.75" thickBot="1" x14ac:dyDescent="0.3">
      <c r="I116" s="1"/>
      <c r="J116" s="1"/>
      <c r="O116" s="14">
        <f t="shared" si="61"/>
        <v>21</v>
      </c>
      <c r="P116" s="20">
        <f t="shared" si="90"/>
        <v>36.737043265906735</v>
      </c>
      <c r="Q116" s="15">
        <f t="shared" si="91"/>
        <v>5.5600902678672723E-2</v>
      </c>
      <c r="R116" s="16">
        <f t="shared" si="92"/>
        <v>4.578452820829872</v>
      </c>
      <c r="S116" s="28">
        <f t="shared" si="50"/>
        <v>0</v>
      </c>
      <c r="T116" s="15">
        <f t="shared" si="93"/>
        <v>6.0931278761122476E-2</v>
      </c>
      <c r="U116" s="29">
        <f t="shared" si="94"/>
        <v>0</v>
      </c>
      <c r="V116" s="8">
        <f t="shared" si="95"/>
        <v>1.9593611756031621</v>
      </c>
      <c r="W116" s="8">
        <f t="shared" si="79"/>
        <v>2.0255279692615948</v>
      </c>
      <c r="X116" s="17">
        <f t="shared" si="96"/>
        <v>5.8605899986433011E-3</v>
      </c>
      <c r="Y116" s="18">
        <f t="shared" si="97"/>
        <v>1.3903283800488895</v>
      </c>
      <c r="Z116" s="8">
        <f t="shared" si="98"/>
        <v>36.752196670602672</v>
      </c>
      <c r="AA116" s="19">
        <f t="shared" si="99"/>
        <v>559.97892286521403</v>
      </c>
    </row>
    <row r="117" spans="9:27" ht="15.75" thickBot="1" x14ac:dyDescent="0.3">
      <c r="I117" s="1"/>
      <c r="J117" s="1"/>
      <c r="O117" s="14">
        <f t="shared" si="61"/>
        <v>21.5</v>
      </c>
      <c r="P117" s="20">
        <f t="shared" si="90"/>
        <v>36.831398764884895</v>
      </c>
      <c r="Q117" s="15">
        <f t="shared" si="91"/>
        <v>5.5685423688586283E-2</v>
      </c>
      <c r="R117" s="16">
        <f t="shared" si="92"/>
        <v>4.5923831552498795</v>
      </c>
      <c r="S117" s="28">
        <f t="shared" si="50"/>
        <v>0</v>
      </c>
      <c r="T117" s="15">
        <f t="shared" si="93"/>
        <v>6.0931278761122476E-2</v>
      </c>
      <c r="U117" s="29">
        <f t="shared" si="94"/>
        <v>0</v>
      </c>
      <c r="V117" s="8">
        <f t="shared" si="95"/>
        <v>1.9636051410520681</v>
      </c>
      <c r="W117" s="8">
        <f t="shared" si="79"/>
        <v>2.0240132626137894</v>
      </c>
      <c r="X117" s="17">
        <f t="shared" si="96"/>
        <v>5.3505272582651982E-3</v>
      </c>
      <c r="Y117" s="18">
        <f t="shared" si="97"/>
        <v>1.3924418701746224</v>
      </c>
      <c r="Z117" s="8">
        <f t="shared" si="98"/>
        <v>36.808065058155535</v>
      </c>
      <c r="AA117" s="19">
        <f t="shared" si="99"/>
        <v>578.37103337291194</v>
      </c>
    </row>
    <row r="118" spans="9:27" ht="15.75" thickBot="1" x14ac:dyDescent="0.3">
      <c r="I118" s="1"/>
      <c r="J118" s="1"/>
      <c r="O118" s="14">
        <f t="shared" si="61"/>
        <v>22</v>
      </c>
      <c r="P118" s="20">
        <f t="shared" si="90"/>
        <v>36.917542253742965</v>
      </c>
      <c r="Q118" s="15">
        <f t="shared" si="91"/>
        <v>5.5762588610128859E-2</v>
      </c>
      <c r="R118" s="16">
        <f t="shared" si="92"/>
        <v>4.6051195732721624</v>
      </c>
      <c r="S118" s="28">
        <f t="shared" si="50"/>
        <v>0</v>
      </c>
      <c r="T118" s="15">
        <f t="shared" si="93"/>
        <v>6.0931278761122476E-2</v>
      </c>
      <c r="U118" s="29">
        <f t="shared" si="94"/>
        <v>0</v>
      </c>
      <c r="V118" s="8">
        <f t="shared" si="95"/>
        <v>1.9674853722367374</v>
      </c>
      <c r="W118" s="8">
        <f t="shared" si="79"/>
        <v>2.0226292946681816</v>
      </c>
      <c r="X118" s="17">
        <f t="shared" si="96"/>
        <v>4.8842614613606389E-3</v>
      </c>
      <c r="Y118" s="18">
        <f t="shared" si="97"/>
        <v>1.3943714176315209</v>
      </c>
      <c r="Z118" s="8">
        <f t="shared" si="98"/>
        <v>36.859071071295176</v>
      </c>
      <c r="AA118" s="19">
        <f t="shared" si="99"/>
        <v>596.80826862756885</v>
      </c>
    </row>
    <row r="119" spans="9:27" ht="15.75" thickBot="1" x14ac:dyDescent="0.3">
      <c r="I119" s="1"/>
      <c r="J119" s="1"/>
      <c r="O119" s="14">
        <f t="shared" si="61"/>
        <v>22.5</v>
      </c>
      <c r="P119" s="20">
        <f t="shared" si="90"/>
        <v>36.99617886327087</v>
      </c>
      <c r="Q119" s="15">
        <f t="shared" si="91"/>
        <v>5.5833029079687659E-2</v>
      </c>
      <c r="R119" s="16">
        <f t="shared" si="92"/>
        <v>4.6167614887318198</v>
      </c>
      <c r="S119" s="28">
        <f t="shared" si="50"/>
        <v>0</v>
      </c>
      <c r="T119" s="15">
        <f t="shared" si="93"/>
        <v>6.0931278761122476E-2</v>
      </c>
      <c r="U119" s="29">
        <f t="shared" si="94"/>
        <v>0</v>
      </c>
      <c r="V119" s="8">
        <f t="shared" si="95"/>
        <v>1.9710321562176665</v>
      </c>
      <c r="W119" s="8">
        <f t="shared" si="79"/>
        <v>2.0213650225149622</v>
      </c>
      <c r="X119" s="17">
        <f t="shared" si="96"/>
        <v>4.4581318893542558E-3</v>
      </c>
      <c r="Y119" s="18">
        <f t="shared" si="97"/>
        <v>1.3961328168033573</v>
      </c>
      <c r="Z119" s="8">
        <f t="shared" si="98"/>
        <v>36.905632221673542</v>
      </c>
      <c r="AA119" s="19">
        <f t="shared" si="99"/>
        <v>615.28669890682227</v>
      </c>
    </row>
    <row r="120" spans="9:27" ht="15.75" thickBot="1" x14ac:dyDescent="0.3">
      <c r="I120" s="1"/>
      <c r="J120" s="1"/>
      <c r="O120" s="14">
        <f t="shared" si="61"/>
        <v>23</v>
      </c>
      <c r="P120" s="20">
        <f t="shared" si="90"/>
        <v>37.067954786689477</v>
      </c>
      <c r="Q120" s="15">
        <f t="shared" si="91"/>
        <v>5.5897323939028319E-2</v>
      </c>
      <c r="R120" s="16">
        <f t="shared" si="92"/>
        <v>4.6274005296696537</v>
      </c>
      <c r="S120" s="28">
        <f t="shared" si="50"/>
        <v>0</v>
      </c>
      <c r="T120" s="15">
        <f t="shared" si="93"/>
        <v>6.0931278761122476E-2</v>
      </c>
      <c r="U120" s="29">
        <f t="shared" si="94"/>
        <v>0</v>
      </c>
      <c r="V120" s="8">
        <f t="shared" si="95"/>
        <v>1.9742734080633373</v>
      </c>
      <c r="W120" s="8">
        <f t="shared" si="79"/>
        <v>2.0202102953593561</v>
      </c>
      <c r="X120" s="17">
        <f t="shared" si="96"/>
        <v>4.0687669353544681E-3</v>
      </c>
      <c r="Y120" s="18">
        <f t="shared" si="97"/>
        <v>1.3977405419179867</v>
      </c>
      <c r="Z120" s="8">
        <f t="shared" si="98"/>
        <v>36.948131123697721</v>
      </c>
      <c r="AA120" s="19">
        <f t="shared" si="99"/>
        <v>633.80273231931233</v>
      </c>
    </row>
    <row r="121" spans="9:27" ht="15.75" thickBot="1" x14ac:dyDescent="0.3">
      <c r="I121" s="1"/>
      <c r="J121" s="1"/>
      <c r="O121" s="14">
        <f t="shared" si="61"/>
        <v>23.5</v>
      </c>
      <c r="P121" s="20">
        <f t="shared" si="90"/>
        <v>37.133461934348681</v>
      </c>
      <c r="Q121" s="15">
        <f t="shared" si="91"/>
        <v>5.5956003404842955E-2</v>
      </c>
      <c r="R121" s="16">
        <f t="shared" si="92"/>
        <v>4.6371210635403814</v>
      </c>
      <c r="S121" s="28">
        <f t="shared" si="50"/>
        <v>0</v>
      </c>
      <c r="T121" s="15">
        <f t="shared" si="93"/>
        <v>6.0931278761122476E-2</v>
      </c>
      <c r="U121" s="29">
        <f t="shared" si="94"/>
        <v>0</v>
      </c>
      <c r="V121" s="8">
        <f t="shared" si="95"/>
        <v>1.9772348308582584</v>
      </c>
      <c r="W121" s="8">
        <f t="shared" si="79"/>
        <v>2.0191557893572138</v>
      </c>
      <c r="X121" s="17">
        <f t="shared" si="96"/>
        <v>3.7130641599588577E-3</v>
      </c>
      <c r="Y121" s="18">
        <f t="shared" si="97"/>
        <v>1.3992078513089814</v>
      </c>
      <c r="Z121" s="8">
        <f t="shared" si="98"/>
        <v>36.986918250601192</v>
      </c>
      <c r="AA121" s="19">
        <f t="shared" si="99"/>
        <v>652.35308649957187</v>
      </c>
    </row>
    <row r="122" spans="9:27" ht="15.75" thickBot="1" x14ac:dyDescent="0.3">
      <c r="I122" s="1"/>
      <c r="J122" s="1"/>
      <c r="O122" s="14">
        <f t="shared" si="61"/>
        <v>24</v>
      </c>
      <c r="P122" s="20">
        <f t="shared" si="90"/>
        <v>37.193242267324017</v>
      </c>
      <c r="Q122" s="15">
        <f t="shared" si="91"/>
        <v>5.6009552950664468E-2</v>
      </c>
      <c r="R122" s="16">
        <f t="shared" si="92"/>
        <v>4.6460007021869973</v>
      </c>
      <c r="S122" s="28">
        <f t="shared" si="50"/>
        <v>0</v>
      </c>
      <c r="T122" s="15">
        <f t="shared" si="93"/>
        <v>6.0931278761122476E-2</v>
      </c>
      <c r="U122" s="29">
        <f t="shared" si="94"/>
        <v>0</v>
      </c>
      <c r="V122" s="8">
        <f t="shared" si="95"/>
        <v>1.9799400695466334</v>
      </c>
      <c r="W122" s="8">
        <f t="shared" si="79"/>
        <v>2.0181929460020278</v>
      </c>
      <c r="X122" s="17">
        <f t="shared" si="96"/>
        <v>3.3881712076167833E-3</v>
      </c>
      <c r="Y122" s="18">
        <f t="shared" si="97"/>
        <v>1.4005468844848392</v>
      </c>
      <c r="Z122" s="8">
        <f t="shared" si="98"/>
        <v>37.022314500389214</v>
      </c>
      <c r="AA122" s="19">
        <f t="shared" si="99"/>
        <v>670.93476254999007</v>
      </c>
    </row>
    <row r="123" spans="9:27" ht="15.75" thickBot="1" x14ac:dyDescent="0.3">
      <c r="I123" s="1"/>
      <c r="J123" s="1"/>
      <c r="O123" s="14">
        <f t="shared" si="61"/>
        <v>24.5</v>
      </c>
      <c r="P123" s="20">
        <f t="shared" si="90"/>
        <v>37.247791823766647</v>
      </c>
      <c r="Q123" s="15">
        <f t="shared" si="91"/>
        <v>5.6058416913558E-2</v>
      </c>
      <c r="R123" s="16">
        <f t="shared" si="92"/>
        <v>4.6541107842511975</v>
      </c>
      <c r="S123" s="28">
        <f t="shared" si="50"/>
        <v>0</v>
      </c>
      <c r="T123" s="15">
        <f t="shared" si="93"/>
        <v>6.0931278761122476E-2</v>
      </c>
      <c r="U123" s="29">
        <f t="shared" si="94"/>
        <v>0</v>
      </c>
      <c r="V123" s="8">
        <f t="shared" si="95"/>
        <v>1.9824108579017805</v>
      </c>
      <c r="W123" s="8">
        <f t="shared" si="79"/>
        <v>2.0173139140991365</v>
      </c>
      <c r="X123" s="17">
        <f t="shared" si="96"/>
        <v>3.091467649592543E-3</v>
      </c>
      <c r="Y123" s="18">
        <f t="shared" si="97"/>
        <v>1.4017687523161071</v>
      </c>
      <c r="Z123" s="8">
        <f t="shared" si="98"/>
        <v>37.054613579861837</v>
      </c>
      <c r="AA123" s="19">
        <f t="shared" si="99"/>
        <v>689.54502107276278</v>
      </c>
    </row>
    <row r="124" spans="9:27" ht="15.75" thickBot="1" x14ac:dyDescent="0.3">
      <c r="I124" s="1"/>
      <c r="J124" s="1"/>
      <c r="O124" s="14">
        <f t="shared" si="61"/>
        <v>25</v>
      </c>
      <c r="P124" s="20">
        <f t="shared" si="90"/>
        <v>37.297564452925087</v>
      </c>
      <c r="Q124" s="15">
        <f t="shared" si="91"/>
        <v>5.6103001838952719E-2</v>
      </c>
      <c r="R124" s="16">
        <f t="shared" si="92"/>
        <v>4.6615168335208095</v>
      </c>
      <c r="S124" s="28">
        <f t="shared" si="50"/>
        <v>0</v>
      </c>
      <c r="T124" s="15">
        <f t="shared" si="93"/>
        <v>6.0931278761122476E-2</v>
      </c>
      <c r="U124" s="29">
        <f t="shared" si="94"/>
        <v>0</v>
      </c>
      <c r="V124" s="8">
        <f t="shared" si="95"/>
        <v>1.9846671581646069</v>
      </c>
      <c r="W124" s="8">
        <f t="shared" si="79"/>
        <v>2.0165114953060401</v>
      </c>
      <c r="X124" s="17">
        <f t="shared" si="96"/>
        <v>2.8205477921133025E-3</v>
      </c>
      <c r="Y124" s="18">
        <f t="shared" si="97"/>
        <v>1.4028836206745738</v>
      </c>
      <c r="Z124" s="8">
        <f t="shared" si="98"/>
        <v>37.084084215547747</v>
      </c>
      <c r="AA124" s="19">
        <f t="shared" si="99"/>
        <v>708.18136014193567</v>
      </c>
    </row>
    <row r="125" spans="9:27" ht="15.75" thickBot="1" x14ac:dyDescent="0.3">
      <c r="I125" s="1"/>
      <c r="J125" s="1"/>
      <c r="O125" s="14">
        <f t="shared" si="61"/>
        <v>25.5</v>
      </c>
      <c r="P125" s="20">
        <f t="shared" si="90"/>
        <v>37.342975272378112</v>
      </c>
      <c r="Q125" s="15">
        <f t="shared" si="91"/>
        <v>5.6143679577534335E-2</v>
      </c>
      <c r="R125" s="16">
        <f t="shared" si="92"/>
        <v>4.6682789923836774</v>
      </c>
      <c r="S125" s="28">
        <f t="shared" si="50"/>
        <v>0</v>
      </c>
      <c r="T125" s="15">
        <f t="shared" si="93"/>
        <v>6.0931278761122476E-2</v>
      </c>
      <c r="U125" s="29">
        <f t="shared" si="94"/>
        <v>0</v>
      </c>
      <c r="V125" s="8">
        <f t="shared" si="95"/>
        <v>1.9867272930981088</v>
      </c>
      <c r="W125" s="8">
        <f t="shared" si="79"/>
        <v>2.0157790931737267</v>
      </c>
      <c r="X125" s="17">
        <f t="shared" si="96"/>
        <v>2.5732044663471765E-3</v>
      </c>
      <c r="Y125" s="18">
        <f t="shared" si="97"/>
        <v>1.4039007878726151</v>
      </c>
      <c r="Z125" s="8">
        <f t="shared" si="98"/>
        <v>37.110972200750197</v>
      </c>
      <c r="AA125" s="19">
        <f t="shared" si="99"/>
        <v>726.84149507326151</v>
      </c>
    </row>
    <row r="126" spans="9:27" ht="15.75" thickBot="1" x14ac:dyDescent="0.3">
      <c r="I126" s="1"/>
      <c r="J126" s="1"/>
      <c r="O126" s="14">
        <f t="shared" si="61"/>
        <v>26</v>
      </c>
      <c r="P126" s="20">
        <f t="shared" si="90"/>
        <v>37.384403864286298</v>
      </c>
      <c r="Q126" s="15">
        <f t="shared" si="91"/>
        <v>5.6180790148357418E-2</v>
      </c>
      <c r="R126" s="16">
        <f t="shared" si="92"/>
        <v>4.6744524300884791</v>
      </c>
      <c r="S126" s="28">
        <f t="shared" si="50"/>
        <v>0</v>
      </c>
      <c r="T126" s="15">
        <f t="shared" si="93"/>
        <v>6.0931278761122476E-2</v>
      </c>
      <c r="U126" s="29">
        <f t="shared" si="94"/>
        <v>0</v>
      </c>
      <c r="V126" s="8">
        <f t="shared" si="95"/>
        <v>1.9886080703666376</v>
      </c>
      <c r="W126" s="8">
        <f t="shared" si="79"/>
        <v>2.0151106655906381</v>
      </c>
      <c r="X126" s="17">
        <f t="shared" si="96"/>
        <v>2.3474137995815421E-3</v>
      </c>
      <c r="Y126" s="18">
        <f t="shared" si="97"/>
        <v>1.4048287562567496</v>
      </c>
      <c r="Z126" s="8">
        <f t="shared" si="98"/>
        <v>37.135502288064252</v>
      </c>
      <c r="AA126" s="19">
        <f t="shared" si="99"/>
        <v>745.52333985742757</v>
      </c>
    </row>
    <row r="127" spans="9:27" ht="15.75" thickBot="1" x14ac:dyDescent="0.3">
      <c r="I127" s="1"/>
      <c r="J127" s="1"/>
      <c r="O127" s="14">
        <f t="shared" si="61"/>
        <v>26.5</v>
      </c>
      <c r="P127" s="20">
        <f t="shared" si="90"/>
        <v>37.422197226459559</v>
      </c>
      <c r="Q127" s="15">
        <f t="shared" si="91"/>
        <v>5.6214644382329017E-2</v>
      </c>
      <c r="R127" s="16">
        <f t="shared" si="92"/>
        <v>4.6800877259299707</v>
      </c>
      <c r="S127" s="28">
        <f t="shared" si="50"/>
        <v>0</v>
      </c>
      <c r="T127" s="15">
        <f t="shared" si="93"/>
        <v>6.0931278761122476E-2</v>
      </c>
      <c r="U127" s="29">
        <f t="shared" si="94"/>
        <v>0</v>
      </c>
      <c r="V127" s="8">
        <f t="shared" si="95"/>
        <v>1.9903248992757341</v>
      </c>
      <c r="W127" s="8">
        <f t="shared" si="79"/>
        <v>2.0145006805063463</v>
      </c>
      <c r="X127" s="17">
        <f t="shared" si="96"/>
        <v>2.1413209535423444E-3</v>
      </c>
      <c r="Y127" s="18">
        <f t="shared" si="97"/>
        <v>1.4056752983092689</v>
      </c>
      <c r="Z127" s="8">
        <f t="shared" si="98"/>
        <v>37.157879936719482</v>
      </c>
      <c r="AA127" s="19">
        <f t="shared" si="99"/>
        <v>764.22499013011407</v>
      </c>
    </row>
    <row r="128" spans="9:27" ht="15.75" thickBot="1" x14ac:dyDescent="0.3">
      <c r="I128" s="1"/>
      <c r="J128" s="1"/>
      <c r="O128" s="14">
        <f t="shared" si="61"/>
        <v>27</v>
      </c>
      <c r="P128" s="20">
        <f t="shared" si="90"/>
        <v>37.456672493811588</v>
      </c>
      <c r="Q128" s="15">
        <f t="shared" si="91"/>
        <v>5.6245526360011178E-2</v>
      </c>
      <c r="R128" s="16">
        <f t="shared" si="92"/>
        <v>4.6852312277972885</v>
      </c>
      <c r="S128" s="28">
        <f t="shared" si="50"/>
        <v>0</v>
      </c>
      <c r="T128" s="15">
        <f t="shared" si="93"/>
        <v>6.0931278761122476E-2</v>
      </c>
      <c r="U128" s="29">
        <f t="shared" si="94"/>
        <v>0</v>
      </c>
      <c r="V128" s="8">
        <f t="shared" si="95"/>
        <v>1.9918919000061635</v>
      </c>
      <c r="W128" s="8">
        <f t="shared" si="79"/>
        <v>2.0139440747947397</v>
      </c>
      <c r="X128" s="17">
        <f t="shared" si="96"/>
        <v>1.9532268056001363E-3</v>
      </c>
      <c r="Y128" s="18">
        <f t="shared" si="97"/>
        <v>1.4064475176067086</v>
      </c>
      <c r="Z128" s="8">
        <f t="shared" si="98"/>
        <v>37.17829292396739</v>
      </c>
      <c r="AA128" s="19">
        <f t="shared" si="99"/>
        <v>782.94470756018188</v>
      </c>
    </row>
    <row r="129" spans="9:27" ht="15.75" thickBot="1" x14ac:dyDescent="0.3">
      <c r="I129" s="1"/>
      <c r="J129" s="1"/>
      <c r="O129" s="14">
        <f t="shared" si="61"/>
        <v>27.5</v>
      </c>
      <c r="P129" s="20">
        <f t="shared" si="90"/>
        <v>37.488119445381749</v>
      </c>
      <c r="Q129" s="15">
        <f t="shared" si="91"/>
        <v>5.6273695657340923E-2</v>
      </c>
      <c r="R129" s="16">
        <f t="shared" si="92"/>
        <v>4.6899253867667801</v>
      </c>
      <c r="S129" s="28">
        <f t="shared" si="50"/>
        <v>0</v>
      </c>
      <c r="T129" s="15">
        <f t="shared" si="93"/>
        <v>6.0931278761122476E-2</v>
      </c>
      <c r="U129" s="29">
        <f t="shared" si="94"/>
        <v>0</v>
      </c>
      <c r="V129" s="8">
        <f t="shared" si="95"/>
        <v>1.9933220055497591</v>
      </c>
      <c r="W129" s="8">
        <f t="shared" si="79"/>
        <v>2.0134362161050516</v>
      </c>
      <c r="X129" s="17">
        <f t="shared" si="96"/>
        <v>1.7815755410407325E-3</v>
      </c>
      <c r="Y129" s="18">
        <f t="shared" si="97"/>
        <v>1.4071519049752002</v>
      </c>
      <c r="Z129" s="8">
        <f t="shared" si="98"/>
        <v>37.196912829502352</v>
      </c>
      <c r="AA129" s="19">
        <f t="shared" si="99"/>
        <v>801.68090554498019</v>
      </c>
    </row>
    <row r="130" spans="9:27" ht="15.75" thickBot="1" x14ac:dyDescent="0.3">
      <c r="I130" s="1"/>
      <c r="J130" s="1"/>
      <c r="O130" s="14">
        <f t="shared" si="61"/>
        <v>28</v>
      </c>
      <c r="P130" s="20">
        <f t="shared" si="90"/>
        <v>37.516802811592505</v>
      </c>
      <c r="Q130" s="15">
        <f t="shared" si="91"/>
        <v>5.629938941240669E-2</v>
      </c>
      <c r="R130" s="16">
        <f t="shared" si="92"/>
        <v>4.6942090685987292</v>
      </c>
      <c r="S130" s="28">
        <f t="shared" si="50"/>
        <v>0</v>
      </c>
      <c r="T130" s="15">
        <f t="shared" si="93"/>
        <v>6.0931278761122476E-2</v>
      </c>
      <c r="U130" s="29">
        <f t="shared" si="94"/>
        <v>0</v>
      </c>
      <c r="V130" s="8">
        <f t="shared" si="95"/>
        <v>1.9946270566088913</v>
      </c>
      <c r="W130" s="8">
        <f t="shared" si="79"/>
        <v>2.012972867542334</v>
      </c>
      <c r="X130" s="17">
        <f t="shared" si="96"/>
        <v>1.6249431191809368E-3</v>
      </c>
      <c r="Y130" s="18">
        <f t="shared" si="97"/>
        <v>1.4077943901712484</v>
      </c>
      <c r="Z130" s="8">
        <f t="shared" si="98"/>
        <v>37.21389640160082</v>
      </c>
      <c r="AA130" s="19">
        <f t="shared" si="99"/>
        <v>820.43213610922373</v>
      </c>
    </row>
    <row r="131" spans="9:27" ht="15.75" thickBot="1" x14ac:dyDescent="0.3">
      <c r="I131" s="1"/>
      <c r="J131" s="1"/>
      <c r="O131" s="14">
        <f t="shared" si="61"/>
        <v>28.5</v>
      </c>
      <c r="P131" s="20">
        <f t="shared" si="90"/>
        <v>37.542964395811318</v>
      </c>
      <c r="Q131" s="15">
        <f t="shared" si="91"/>
        <v>5.6322824225884013E-2</v>
      </c>
      <c r="R131" s="16">
        <f t="shared" si="92"/>
        <v>4.6981178431229242</v>
      </c>
      <c r="S131" s="28">
        <f t="shared" si="50"/>
        <v>0</v>
      </c>
      <c r="T131" s="15">
        <f t="shared" si="93"/>
        <v>6.0931278761122476E-2</v>
      </c>
      <c r="U131" s="29">
        <f t="shared" si="94"/>
        <v>0</v>
      </c>
      <c r="V131" s="8">
        <f t="shared" si="95"/>
        <v>1.9958178897596317</v>
      </c>
      <c r="W131" s="8">
        <f t="shared" si="79"/>
        <v>2.0125501550159619</v>
      </c>
      <c r="X131" s="17">
        <f t="shared" si="96"/>
        <v>1.4820265724542645E-3</v>
      </c>
      <c r="Y131" s="18">
        <f t="shared" si="97"/>
        <v>1.4083803894030769</v>
      </c>
      <c r="Z131" s="8">
        <f t="shared" si="98"/>
        <v>37.229386813309333</v>
      </c>
      <c r="AA131" s="19">
        <f t="shared" si="99"/>
        <v>839.19707791107464</v>
      </c>
    </row>
    <row r="132" spans="9:27" ht="15.75" thickBot="1" x14ac:dyDescent="0.3">
      <c r="I132" s="1"/>
      <c r="J132" s="1"/>
      <c r="O132" s="14">
        <f t="shared" si="61"/>
        <v>29</v>
      </c>
      <c r="P132" s="20">
        <f t="shared" si="90"/>
        <v>37.566825023627828</v>
      </c>
      <c r="Q132" s="15">
        <f t="shared" si="91"/>
        <v>5.6344197907143331E-2</v>
      </c>
      <c r="R132" s="16">
        <f t="shared" si="92"/>
        <v>4.7016842525808151</v>
      </c>
      <c r="S132" s="28">
        <f t="shared" si="50"/>
        <v>0</v>
      </c>
      <c r="T132" s="15">
        <f t="shared" si="93"/>
        <v>6.0931278761122476E-2</v>
      </c>
      <c r="U132" s="29">
        <f t="shared" si="94"/>
        <v>0</v>
      </c>
      <c r="V132" s="8">
        <f t="shared" si="95"/>
        <v>1.9969044192039069</v>
      </c>
      <c r="W132" s="8">
        <f t="shared" si="79"/>
        <v>2.0121645370947059</v>
      </c>
      <c r="X132" s="17">
        <f t="shared" si="96"/>
        <v>1.3516340953531472E-3</v>
      </c>
      <c r="Y132" s="18">
        <f t="shared" si="97"/>
        <v>1.4089148489929271</v>
      </c>
      <c r="Z132" s="8">
        <f t="shared" si="98"/>
        <v>37.24351481662174</v>
      </c>
      <c r="AA132" s="19">
        <f t="shared" si="99"/>
        <v>857.9745252659344</v>
      </c>
    </row>
    <row r="133" spans="9:27" ht="15.75" thickBot="1" x14ac:dyDescent="0.3">
      <c r="I133" s="1"/>
      <c r="J133" s="1"/>
      <c r="O133" s="14">
        <f t="shared" si="61"/>
        <v>29.5</v>
      </c>
      <c r="P133" s="20">
        <f t="shared" si="90"/>
        <v>37.588586332563011</v>
      </c>
      <c r="Q133" s="15">
        <f t="shared" si="91"/>
        <v>5.6363691077421278E-2</v>
      </c>
      <c r="R133" s="16">
        <f t="shared" si="92"/>
        <v>4.7049380600409201</v>
      </c>
      <c r="S133" s="28">
        <f t="shared" si="50"/>
        <v>0</v>
      </c>
      <c r="T133" s="15">
        <f t="shared" si="93"/>
        <v>6.0931278761122476E-2</v>
      </c>
      <c r="U133" s="29">
        <f t="shared" si="94"/>
        <v>0</v>
      </c>
      <c r="V133" s="8">
        <f t="shared" si="95"/>
        <v>1.9978957124508405</v>
      </c>
      <c r="W133" s="8">
        <f t="shared" si="79"/>
        <v>2.0118127772091161</v>
      </c>
      <c r="X133" s="17">
        <f t="shared" si="96"/>
        <v>1.2326758789894343E-3</v>
      </c>
      <c r="Y133" s="18">
        <f t="shared" si="97"/>
        <v>1.4094022854651582</v>
      </c>
      <c r="Z133" s="8">
        <f t="shared" si="98"/>
        <v>37.256399802175466</v>
      </c>
      <c r="AA133" s="19">
        <f t="shared" si="99"/>
        <v>876.76337810498217</v>
      </c>
    </row>
    <row r="134" spans="9:27" ht="15.75" thickBot="1" x14ac:dyDescent="0.3">
      <c r="O134" s="14">
        <f t="shared" si="61"/>
        <v>30</v>
      </c>
      <c r="P134" s="20">
        <f t="shared" si="90"/>
        <v>37.608432414214739</v>
      </c>
      <c r="Q134" s="15">
        <f t="shared" si="91"/>
        <v>5.6381468640808653E-2</v>
      </c>
      <c r="R134" s="16">
        <f t="shared" si="92"/>
        <v>4.7079064790259384</v>
      </c>
      <c r="S134" s="28">
        <f t="shared" si="50"/>
        <v>0</v>
      </c>
      <c r="T134" s="15">
        <f t="shared" si="93"/>
        <v>6.0931278761122476E-2</v>
      </c>
      <c r="U134" s="29">
        <f t="shared" si="94"/>
        <v>0</v>
      </c>
      <c r="V134" s="8">
        <f t="shared" si="95"/>
        <v>1.9988000602741205</v>
      </c>
      <c r="W134" s="8">
        <f t="shared" si="79"/>
        <v>2.0114919180459134</v>
      </c>
      <c r="X134" s="17">
        <f t="shared" si="96"/>
        <v>1.1241556467969076E-3</v>
      </c>
      <c r="Y134" s="18">
        <f t="shared" si="97"/>
        <v>1.4098468223290366</v>
      </c>
      <c r="Z134" s="8">
        <f t="shared" si="98"/>
        <v>37.268150771574518</v>
      </c>
      <c r="AA134" s="19">
        <f t="shared" si="99"/>
        <v>895.56263279167661</v>
      </c>
    </row>
  </sheetData>
  <sortState ref="I3:J122">
    <sortCondition ref="J3:J122"/>
  </sortState>
  <mergeCells count="1">
    <mergeCell ref="O7:Q7"/>
  </mergeCells>
  <conditionalFormatting sqref="Y74:Y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Y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A74:AA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4:V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B20:AB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B18:AB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W74:W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6:AC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6:AD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1:AD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B16:AB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2"/>
  <sheetViews>
    <sheetView workbookViewId="0">
      <selection activeCell="E3" sqref="E3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138</v>
      </c>
      <c r="B1" s="60" t="s">
        <v>139</v>
      </c>
      <c r="C1" s="60" t="s">
        <v>140</v>
      </c>
      <c r="D1" s="60" t="s">
        <v>141</v>
      </c>
      <c r="E1" s="60" t="s">
        <v>142</v>
      </c>
      <c r="F1" s="63" t="s">
        <v>153</v>
      </c>
      <c r="G1" s="59" t="s">
        <v>150</v>
      </c>
      <c r="H1" s="61">
        <f>IF($A2*$M2+2.5&gt;$D2*$M3,$A2*$M2+2.5,$D2*$M3)</f>
        <v>10.5</v>
      </c>
      <c r="I1" s="61" t="str">
        <f>IF($A2*$M2+2.5&gt;$D2*$M3,"Passenger Dominated","Cargo Dominated")</f>
        <v>Passenger Dominated</v>
      </c>
      <c r="J1" s="59"/>
      <c r="K1" s="62"/>
      <c r="L1" s="59"/>
      <c r="M1" s="60" t="s">
        <v>125</v>
      </c>
      <c r="N1" s="60" t="s">
        <v>124</v>
      </c>
      <c r="O1" s="60" t="s">
        <v>126</v>
      </c>
      <c r="P1" s="63" t="s">
        <v>143</v>
      </c>
    </row>
    <row r="2" spans="1:16" x14ac:dyDescent="0.25">
      <c r="A2" s="64">
        <v>4</v>
      </c>
      <c r="B2" s="65">
        <v>13</v>
      </c>
      <c r="C2" s="66">
        <f>$B2*$A2</f>
        <v>52</v>
      </c>
      <c r="D2" s="65">
        <v>2</v>
      </c>
      <c r="E2" s="65">
        <v>2</v>
      </c>
      <c r="F2" s="74">
        <f>E2*D2</f>
        <v>4</v>
      </c>
      <c r="G2" s="67" t="s">
        <v>151</v>
      </c>
      <c r="H2" s="68">
        <f>IF(($B$2*(2.5))&gt;($E$2*$N$3),$B$2*(2.5),$E$2*$N$3)</f>
        <v>32.5</v>
      </c>
      <c r="I2" s="68" t="str">
        <f>IF(($B$2*(2.5))&gt;($E$2*$N$3),"Passenger Dominated","Cargo Dominated")</f>
        <v>Passenger Dominated</v>
      </c>
      <c r="J2" s="67" t="s">
        <v>144</v>
      </c>
      <c r="K2" s="69">
        <f>(P2*$B2*$A2)/16</f>
        <v>4.0901249999999996</v>
      </c>
      <c r="L2" s="67" t="s">
        <v>145</v>
      </c>
      <c r="M2" s="70">
        <v>2</v>
      </c>
      <c r="N2" s="68">
        <v>2</v>
      </c>
      <c r="O2" s="68">
        <v>2</v>
      </c>
      <c r="P2" s="69">
        <v>1.2585</v>
      </c>
    </row>
    <row r="3" spans="1:16" x14ac:dyDescent="0.25">
      <c r="A3" s="40"/>
      <c r="B3" s="40"/>
      <c r="C3" s="40"/>
      <c r="D3" s="40"/>
      <c r="E3" s="40"/>
      <c r="G3" s="67" t="s">
        <v>152</v>
      </c>
      <c r="H3" s="68">
        <f>$O$3+$O$2</f>
        <v>4.5</v>
      </c>
      <c r="I3" s="68"/>
      <c r="J3" s="67" t="s">
        <v>146</v>
      </c>
      <c r="K3" s="69">
        <f>$E2*$D2*P3/16</f>
        <v>2</v>
      </c>
      <c r="L3" s="72" t="s">
        <v>147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/>
      <c r="C4" s="40"/>
      <c r="D4" s="40"/>
      <c r="E4" s="40"/>
      <c r="G4" s="72"/>
      <c r="H4" s="66"/>
      <c r="I4" s="66"/>
      <c r="J4" s="67" t="s">
        <v>148</v>
      </c>
      <c r="K4" s="69">
        <f>K3+(K2/2)+K1</f>
        <v>4.0450625000000002</v>
      </c>
      <c r="L4" s="40"/>
    </row>
    <row r="5" spans="1:16" x14ac:dyDescent="0.25">
      <c r="A5" s="40"/>
      <c r="B5" s="40"/>
      <c r="C5" s="40"/>
      <c r="D5" s="40"/>
      <c r="E5" s="40"/>
      <c r="G5" s="59" t="s">
        <v>154</v>
      </c>
      <c r="H5" s="62">
        <v>0.5</v>
      </c>
      <c r="I5" s="75"/>
      <c r="J5" s="72" t="s">
        <v>149</v>
      </c>
      <c r="K5" s="74">
        <f>SUM(K1:K3)</f>
        <v>6.0901249999999996</v>
      </c>
      <c r="L5" s="40"/>
    </row>
    <row r="6" spans="1:16" x14ac:dyDescent="0.25">
      <c r="A6" s="40"/>
      <c r="B6" s="40"/>
      <c r="C6" s="40"/>
      <c r="D6" s="40"/>
      <c r="E6" s="40"/>
      <c r="G6" s="67" t="s">
        <v>164</v>
      </c>
      <c r="H6" s="71">
        <v>18</v>
      </c>
      <c r="I6" s="75"/>
      <c r="J6" s="40"/>
      <c r="K6" s="40"/>
      <c r="L6" s="40"/>
      <c r="M6" s="40"/>
      <c r="N6" s="40"/>
    </row>
    <row r="7" spans="1:16" x14ac:dyDescent="0.25">
      <c r="C7" t="s">
        <v>162</v>
      </c>
      <c r="G7" s="67" t="s">
        <v>163</v>
      </c>
      <c r="H7" s="71">
        <v>4</v>
      </c>
      <c r="I7" s="75"/>
    </row>
    <row r="8" spans="1:16" x14ac:dyDescent="0.25">
      <c r="G8" s="72" t="s">
        <v>155</v>
      </c>
      <c r="H8" s="73">
        <v>1</v>
      </c>
    </row>
    <row r="9" spans="1:16" x14ac:dyDescent="0.25">
      <c r="G9" s="59" t="s">
        <v>156</v>
      </c>
      <c r="H9" s="76">
        <f>H5+H1</f>
        <v>11</v>
      </c>
    </row>
    <row r="10" spans="1:16" x14ac:dyDescent="0.25">
      <c r="G10" s="67" t="s">
        <v>157</v>
      </c>
      <c r="H10" s="69">
        <f>H6+H2+H7</f>
        <v>54.5</v>
      </c>
    </row>
    <row r="11" spans="1:16" x14ac:dyDescent="0.25">
      <c r="G11" s="72" t="s">
        <v>158</v>
      </c>
      <c r="H11" s="74">
        <f>H3+H8</f>
        <v>5.5</v>
      </c>
    </row>
    <row r="13" spans="1:16" x14ac:dyDescent="0.25">
      <c r="A13" s="91" t="s">
        <v>165</v>
      </c>
      <c r="B13" s="92"/>
      <c r="C13" s="93"/>
      <c r="D13" s="91" t="s">
        <v>185</v>
      </c>
      <c r="E13" s="92"/>
      <c r="F13" s="94"/>
    </row>
    <row r="14" spans="1:16" x14ac:dyDescent="0.25">
      <c r="A14" s="81" t="s">
        <v>183</v>
      </c>
      <c r="B14" s="82" t="s">
        <v>184</v>
      </c>
      <c r="C14" s="82" t="s">
        <v>104</v>
      </c>
      <c r="D14" s="59" t="s">
        <v>170</v>
      </c>
      <c r="E14" s="62">
        <v>1.25</v>
      </c>
      <c r="F14" s="63" t="s">
        <v>178</v>
      </c>
    </row>
    <row r="15" spans="1:16" x14ac:dyDescent="0.25">
      <c r="A15" s="67" t="s">
        <v>166</v>
      </c>
      <c r="B15" s="68">
        <f>((H9+E14)/2)*CRUD_LENGTH+2*((E15+H11)/2)*CRUD_LENGTH+((E14+H9)/2)*SQRT((H11-E15)^2+CRUD_LENGTH^2)</f>
        <v>361.78267955852209</v>
      </c>
      <c r="C15" s="68">
        <f>SWET_tail/144</f>
        <v>2.5123797191564035</v>
      </c>
      <c r="D15" s="67" t="s">
        <v>171</v>
      </c>
      <c r="E15" s="71">
        <v>2.25</v>
      </c>
      <c r="F15" s="69">
        <f>E14*E15</f>
        <v>2.8125</v>
      </c>
    </row>
    <row r="16" spans="1:16" x14ac:dyDescent="0.25">
      <c r="A16" s="67" t="s">
        <v>169</v>
      </c>
      <c r="B16" s="68">
        <f>4*H2*H11</f>
        <v>715</v>
      </c>
      <c r="C16" s="68">
        <f>SWET_mid/144</f>
        <v>4.9652777777777777</v>
      </c>
      <c r="D16" s="67" t="s">
        <v>172</v>
      </c>
      <c r="E16" s="71">
        <v>1</v>
      </c>
      <c r="F16" s="83" t="s">
        <v>179</v>
      </c>
    </row>
    <row r="17" spans="1:6" x14ac:dyDescent="0.25">
      <c r="A17" s="67" t="s">
        <v>167</v>
      </c>
      <c r="B17" s="68">
        <f>SQRT(CRUD_LENGTH_nose^2+(H9/2)^2)*H11+SQRT(CRUD_LENGTH_nose^2+(H11/2)^2)*H9</f>
        <v>90.799385456128363</v>
      </c>
      <c r="C17" s="68">
        <f>SWET_nose/144</f>
        <v>0.63055128788978032</v>
      </c>
      <c r="D17" s="67" t="s">
        <v>173</v>
      </c>
      <c r="E17" s="71">
        <v>2</v>
      </c>
      <c r="F17" s="69">
        <f>E16*E17</f>
        <v>2</v>
      </c>
    </row>
    <row r="18" spans="1:6" x14ac:dyDescent="0.25">
      <c r="A18" s="72" t="s">
        <v>168</v>
      </c>
      <c r="B18" s="66">
        <f>SUM(B15:B17)</f>
        <v>1167.5820650146504</v>
      </c>
      <c r="C18" s="66">
        <f>SWET_fuse/144</f>
        <v>8.1082087848239617</v>
      </c>
      <c r="D18" s="67" t="s">
        <v>174</v>
      </c>
      <c r="E18" s="71">
        <v>1.5</v>
      </c>
      <c r="F18" s="83" t="s">
        <v>180</v>
      </c>
    </row>
    <row r="19" spans="1:6" x14ac:dyDescent="0.25">
      <c r="D19" s="67" t="s">
        <v>175</v>
      </c>
      <c r="E19" s="71">
        <v>0.5</v>
      </c>
      <c r="F19" s="69">
        <f>E18*E19</f>
        <v>0.75</v>
      </c>
    </row>
    <row r="20" spans="1:6" x14ac:dyDescent="0.25">
      <c r="D20" s="67" t="s">
        <v>176</v>
      </c>
      <c r="E20" s="71">
        <v>1.25</v>
      </c>
      <c r="F20" s="83" t="s">
        <v>181</v>
      </c>
    </row>
    <row r="21" spans="1:6" x14ac:dyDescent="0.25">
      <c r="D21" s="72" t="s">
        <v>177</v>
      </c>
      <c r="E21" s="73">
        <v>2.25</v>
      </c>
      <c r="F21" s="74">
        <f>E20*E21</f>
        <v>2.8125</v>
      </c>
    </row>
    <row r="22" spans="1:6" x14ac:dyDescent="0.25">
      <c r="D22" s="89" t="s">
        <v>182</v>
      </c>
      <c r="E22" s="90"/>
      <c r="F22" s="80">
        <f>F15+F17+F19+F21</f>
        <v>8.375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H14" sqref="H14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96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186</v>
      </c>
      <c r="M3" s="40" t="s">
        <v>110</v>
      </c>
      <c r="N3" s="40">
        <f>N13*(N14+N15)*2*0.7</f>
        <v>8.7427083333333329</v>
      </c>
      <c r="O3" s="40" t="s">
        <v>104</v>
      </c>
    </row>
    <row r="4" spans="1:19" x14ac:dyDescent="0.25">
      <c r="A4" t="s">
        <v>97</v>
      </c>
    </row>
    <row r="5" spans="1:19" x14ac:dyDescent="0.25">
      <c r="A5" t="s">
        <v>98</v>
      </c>
      <c r="C5">
        <v>50</v>
      </c>
    </row>
    <row r="6" spans="1:19" x14ac:dyDescent="0.25">
      <c r="A6" t="s">
        <v>99</v>
      </c>
      <c r="C6">
        <f>C5/660.8</f>
        <v>7.5665859564164648E-2</v>
      </c>
    </row>
    <row r="7" spans="1:19" x14ac:dyDescent="0.25">
      <c r="A7" t="s">
        <v>100</v>
      </c>
      <c r="C7">
        <f>7100000*C6</f>
        <v>537227.60290556902</v>
      </c>
    </row>
    <row r="8" spans="1:19" x14ac:dyDescent="0.25">
      <c r="A8" t="s">
        <v>101</v>
      </c>
      <c r="C8">
        <f>C6^2*1481</f>
        <v>8.4792023316077358</v>
      </c>
      <c r="D8" t="s">
        <v>102</v>
      </c>
    </row>
    <row r="10" spans="1:19" x14ac:dyDescent="0.25">
      <c r="A10" t="s">
        <v>103</v>
      </c>
    </row>
    <row r="11" spans="1:19" x14ac:dyDescent="0.25">
      <c r="A11" t="s">
        <v>108</v>
      </c>
      <c r="G11" t="s">
        <v>120</v>
      </c>
      <c r="J11" s="40" t="s">
        <v>122</v>
      </c>
      <c r="M11" t="s">
        <v>123</v>
      </c>
      <c r="Q11" t="s">
        <v>119</v>
      </c>
      <c r="S11" t="s">
        <v>160</v>
      </c>
    </row>
    <row r="12" spans="1:19" x14ac:dyDescent="0.25">
      <c r="A12" t="s">
        <v>7</v>
      </c>
      <c r="B12" s="43">
        <v>3</v>
      </c>
      <c r="C12" t="s">
        <v>104</v>
      </c>
      <c r="G12" t="s">
        <v>121</v>
      </c>
      <c r="H12" s="43">
        <v>0.95</v>
      </c>
      <c r="I12" s="40" t="s">
        <v>104</v>
      </c>
      <c r="J12" s="40" t="s">
        <v>121</v>
      </c>
      <c r="K12" s="43">
        <v>0.3</v>
      </c>
      <c r="L12" t="s">
        <v>104</v>
      </c>
      <c r="M12" t="s">
        <v>110</v>
      </c>
      <c r="N12">
        <f>'Aircraft Dimensions'!C18</f>
        <v>8.1082087848239617</v>
      </c>
      <c r="O12" s="40" t="s">
        <v>104</v>
      </c>
      <c r="Q12" t="s">
        <v>128</v>
      </c>
      <c r="R12" s="43">
        <v>3</v>
      </c>
      <c r="S12" t="s">
        <v>73</v>
      </c>
    </row>
    <row r="13" spans="1:19" x14ac:dyDescent="0.25">
      <c r="A13" t="s">
        <v>95</v>
      </c>
      <c r="B13" s="43">
        <v>2.5</v>
      </c>
      <c r="G13" t="s">
        <v>110</v>
      </c>
      <c r="H13">
        <f>2.1*H12</f>
        <v>1.9949999999999999</v>
      </c>
      <c r="I13" s="40" t="s">
        <v>104</v>
      </c>
      <c r="J13" s="40" t="s">
        <v>110</v>
      </c>
      <c r="K13" s="40">
        <f>2.1*K12</f>
        <v>0.63</v>
      </c>
      <c r="L13" t="s">
        <v>104</v>
      </c>
      <c r="M13" t="s">
        <v>124</v>
      </c>
      <c r="N13" s="77">
        <f>'Aircraft Dimensions'!H10/12</f>
        <v>4.541666666666667</v>
      </c>
      <c r="O13" t="s">
        <v>106</v>
      </c>
      <c r="Q13" t="s">
        <v>129</v>
      </c>
      <c r="R13" s="43">
        <v>1</v>
      </c>
      <c r="S13" t="s">
        <v>73</v>
      </c>
    </row>
    <row r="14" spans="1:19" x14ac:dyDescent="0.25">
      <c r="A14" t="s">
        <v>105</v>
      </c>
      <c r="B14">
        <f>SQRT(B13*B12)</f>
        <v>2.7386127875258306</v>
      </c>
      <c r="C14" t="s">
        <v>106</v>
      </c>
      <c r="D14">
        <f>B14*12</f>
        <v>32.863353450309965</v>
      </c>
      <c r="E14" t="s">
        <v>73</v>
      </c>
      <c r="G14" t="s">
        <v>107</v>
      </c>
      <c r="H14">
        <v>0.5</v>
      </c>
      <c r="I14" s="40" t="s">
        <v>106</v>
      </c>
      <c r="J14" s="40" t="s">
        <v>107</v>
      </c>
      <c r="K14">
        <v>0.5</v>
      </c>
      <c r="L14" t="s">
        <v>106</v>
      </c>
      <c r="M14" t="s">
        <v>125</v>
      </c>
      <c r="N14" s="77">
        <f>'Aircraft Dimensions'!H9/12</f>
        <v>0.91666666666666663</v>
      </c>
      <c r="O14" t="s">
        <v>71</v>
      </c>
    </row>
    <row r="15" spans="1:19" x14ac:dyDescent="0.25">
      <c r="A15" t="s">
        <v>107</v>
      </c>
      <c r="B15">
        <f>B14/B13</f>
        <v>1.0954451150103321</v>
      </c>
      <c r="C15" t="s">
        <v>71</v>
      </c>
      <c r="D15">
        <f>B15*12</f>
        <v>13.145341380123986</v>
      </c>
      <c r="E15" t="s">
        <v>73</v>
      </c>
      <c r="G15" t="s">
        <v>116</v>
      </c>
      <c r="H15" s="57">
        <v>0.12</v>
      </c>
      <c r="J15" s="40" t="s">
        <v>116</v>
      </c>
      <c r="K15" s="58">
        <v>0.12</v>
      </c>
      <c r="M15" t="s">
        <v>126</v>
      </c>
      <c r="N15" s="77">
        <f>'Aircraft Dimensions'!H11/12</f>
        <v>0.45833333333333331</v>
      </c>
      <c r="O15" t="s">
        <v>71</v>
      </c>
      <c r="Q15" t="s">
        <v>130</v>
      </c>
      <c r="R15">
        <f>R12*R13*3/144</f>
        <v>6.25E-2</v>
      </c>
      <c r="S15" s="40" t="s">
        <v>104</v>
      </c>
    </row>
    <row r="16" spans="1:19" x14ac:dyDescent="0.25">
      <c r="A16" t="s">
        <v>110</v>
      </c>
      <c r="B16">
        <f>2.1*B12</f>
        <v>6.3000000000000007</v>
      </c>
      <c r="C16" s="40" t="s">
        <v>104</v>
      </c>
      <c r="M16" t="s">
        <v>94</v>
      </c>
      <c r="N16">
        <f>N14*N15</f>
        <v>0.42013888888888884</v>
      </c>
      <c r="O16" s="40" t="s">
        <v>104</v>
      </c>
    </row>
    <row r="17" spans="1:15" x14ac:dyDescent="0.25">
      <c r="A17" t="s">
        <v>116</v>
      </c>
      <c r="B17" s="57">
        <v>0.18</v>
      </c>
      <c r="M17" t="s">
        <v>127</v>
      </c>
      <c r="N17">
        <v>2.86E-2</v>
      </c>
      <c r="O17" t="s">
        <v>104</v>
      </c>
    </row>
    <row r="18" spans="1:15" x14ac:dyDescent="0.25">
      <c r="M18" t="s">
        <v>131</v>
      </c>
      <c r="N18">
        <f>(N14+N15)/2/N13</f>
        <v>0.15137614678899081</v>
      </c>
    </row>
    <row r="22" spans="1:15" x14ac:dyDescent="0.25">
      <c r="A22" s="44"/>
      <c r="B22" s="51" t="s">
        <v>110</v>
      </c>
      <c r="C22" s="51" t="s">
        <v>111</v>
      </c>
      <c r="D22" s="51" t="s">
        <v>115</v>
      </c>
      <c r="E22" s="51" t="s">
        <v>112</v>
      </c>
      <c r="F22" s="51" t="s">
        <v>133</v>
      </c>
    </row>
    <row r="23" spans="1:15" x14ac:dyDescent="0.25">
      <c r="A23" s="39" t="s">
        <v>108</v>
      </c>
      <c r="B23" s="45">
        <f>B16</f>
        <v>6.3000000000000007</v>
      </c>
      <c r="C23" s="45">
        <f>1+2*B17+60*B17^4</f>
        <v>1.4229855999999999</v>
      </c>
      <c r="D23" s="46">
        <f>$B$15*$C$7</f>
        <v>588503.35325161612</v>
      </c>
      <c r="E23" s="47">
        <f>IF(D23&lt;500000,1.328/SQRT(D23),1/(3.46*LOG10(D23)-5.6)^2)</f>
        <v>4.8471855174604421E-3</v>
      </c>
      <c r="F23" s="47">
        <f>B23*C23*E23/$B$12</f>
        <v>1.4484697902936992E-2</v>
      </c>
    </row>
    <row r="24" spans="1:15" x14ac:dyDescent="0.25">
      <c r="A24" s="39" t="s">
        <v>109</v>
      </c>
      <c r="B24" s="45">
        <f>N12</f>
        <v>8.1082087848239617</v>
      </c>
      <c r="C24" s="45">
        <f>1-0.2896*N18+5.41*N18^2+88*N18^3-238.7*N18^4</f>
        <v>1.2600418949928798</v>
      </c>
      <c r="D24" s="46">
        <f>C7*N13</f>
        <v>2439908.6965294592</v>
      </c>
      <c r="E24" s="47">
        <f t="shared" ref="E24:E26" si="0">IF(D24&lt;500000,1.328/SQRT(D24),1/(3.46*LOG10(D24)-5.6)^2)</f>
        <v>3.6729554228696563E-3</v>
      </c>
      <c r="F24" s="47">
        <f t="shared" ref="F24:F26" si="1">B24*C24*E24/$B$12</f>
        <v>1.2508473451754145E-2</v>
      </c>
    </row>
    <row r="25" spans="1:15" x14ac:dyDescent="0.25">
      <c r="A25" s="39" t="s">
        <v>113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2.1340915348512014E-3</v>
      </c>
    </row>
    <row r="26" spans="1:15" x14ac:dyDescent="0.25">
      <c r="A26" s="39" t="s">
        <v>114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6.7392364258459002E-4</v>
      </c>
    </row>
    <row r="27" spans="1:15" x14ac:dyDescent="0.25">
      <c r="A27" s="39" t="s">
        <v>118</v>
      </c>
      <c r="B27" s="45">
        <f>N17</f>
        <v>2.86E-2</v>
      </c>
      <c r="C27" s="48"/>
      <c r="D27" s="48"/>
      <c r="E27" s="48"/>
      <c r="F27" s="47">
        <f>B27/B12*0.16</f>
        <v>1.5253333333333334E-3</v>
      </c>
    </row>
    <row r="28" spans="1:15" x14ac:dyDescent="0.25">
      <c r="A28" s="39" t="s">
        <v>119</v>
      </c>
      <c r="B28" s="45">
        <f>R15</f>
        <v>6.25E-2</v>
      </c>
      <c r="C28" s="48"/>
      <c r="D28" s="48"/>
      <c r="E28" s="48"/>
      <c r="F28" s="47">
        <f>B28/B12*1</f>
        <v>2.0833333333333332E-2</v>
      </c>
    </row>
    <row r="29" spans="1:15" x14ac:dyDescent="0.25">
      <c r="A29" s="39" t="s">
        <v>132</v>
      </c>
      <c r="B29" s="48"/>
      <c r="C29" s="48"/>
      <c r="D29" s="48"/>
      <c r="E29" s="48"/>
      <c r="F29" s="47">
        <f>0.28*SUM(F23:F27)</f>
        <v>8.7714255623288738E-3</v>
      </c>
    </row>
    <row r="30" spans="1:15" x14ac:dyDescent="0.25">
      <c r="A30" s="41" t="s">
        <v>117</v>
      </c>
      <c r="B30" s="49"/>
      <c r="C30" s="49"/>
      <c r="D30" s="49"/>
      <c r="E30" s="49"/>
      <c r="F30" s="50">
        <f>SUM(F23:F29)</f>
        <v>6.0931278761122476E-2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1"/>
  <sheetViews>
    <sheetView workbookViewId="0">
      <selection activeCell="K24" sqref="K24"/>
    </sheetView>
  </sheetViews>
  <sheetFormatPr defaultRowHeight="15" x14ac:dyDescent="0.25"/>
  <sheetData>
    <row r="1" spans="1:24" ht="36" x14ac:dyDescent="0.55000000000000004">
      <c r="A1" s="86" t="s">
        <v>188</v>
      </c>
    </row>
    <row r="4" spans="1:24" x14ac:dyDescent="0.25">
      <c r="A4" t="s">
        <v>108</v>
      </c>
      <c r="F4" t="s">
        <v>123</v>
      </c>
      <c r="K4" t="s">
        <v>189</v>
      </c>
      <c r="P4" t="s">
        <v>122</v>
      </c>
      <c r="U4" t="s">
        <v>190</v>
      </c>
    </row>
    <row r="5" spans="1:24" x14ac:dyDescent="0.25">
      <c r="A5" t="s">
        <v>95</v>
      </c>
      <c r="B5">
        <f>AR</f>
        <v>2.5</v>
      </c>
      <c r="F5" t="s">
        <v>124</v>
      </c>
      <c r="G5">
        <f>Fuse_Len</f>
        <v>4.541666666666667</v>
      </c>
      <c r="H5" t="s">
        <v>71</v>
      </c>
      <c r="I5">
        <f>G5*12</f>
        <v>54.5</v>
      </c>
      <c r="J5" t="s">
        <v>73</v>
      </c>
      <c r="K5" t="s">
        <v>121</v>
      </c>
      <c r="L5">
        <f>S_HT</f>
        <v>0.95</v>
      </c>
      <c r="M5" t="s">
        <v>71</v>
      </c>
      <c r="N5">
        <f>L5*12</f>
        <v>11.399999999999999</v>
      </c>
      <c r="O5" t="s">
        <v>73</v>
      </c>
      <c r="P5" t="s">
        <v>121</v>
      </c>
      <c r="Q5">
        <f>S_VT</f>
        <v>0.3</v>
      </c>
      <c r="R5" t="s">
        <v>71</v>
      </c>
      <c r="S5" s="40">
        <f t="shared" ref="S5:S6" si="0">Q5*12</f>
        <v>3.5999999999999996</v>
      </c>
      <c r="T5" t="s">
        <v>73</v>
      </c>
      <c r="U5" t="s">
        <v>191</v>
      </c>
      <c r="V5">
        <v>5.7800000000000004E-3</v>
      </c>
      <c r="W5" t="s">
        <v>192</v>
      </c>
    </row>
    <row r="6" spans="1:24" x14ac:dyDescent="0.25">
      <c r="A6" t="s">
        <v>105</v>
      </c>
      <c r="B6">
        <f>'CD0 calculator'!B14</f>
        <v>2.7386127875258306</v>
      </c>
      <c r="C6" t="s">
        <v>71</v>
      </c>
      <c r="D6">
        <f>B6*12</f>
        <v>32.863353450309965</v>
      </c>
      <c r="E6" t="s">
        <v>73</v>
      </c>
      <c r="F6" t="s">
        <v>125</v>
      </c>
      <c r="G6">
        <f>Fuse_W</f>
        <v>0.91666666666666663</v>
      </c>
      <c r="H6" t="s">
        <v>71</v>
      </c>
      <c r="I6" s="40">
        <f t="shared" ref="I6:I7" si="1">G6*12</f>
        <v>11</v>
      </c>
      <c r="J6" t="s">
        <v>73</v>
      </c>
      <c r="K6" t="s">
        <v>107</v>
      </c>
      <c r="L6">
        <f>'CD0 calculator'!H14</f>
        <v>0.5</v>
      </c>
      <c r="M6" t="s">
        <v>71</v>
      </c>
      <c r="N6" s="40">
        <f t="shared" ref="N6:N9" si="2">L6*12</f>
        <v>6</v>
      </c>
      <c r="O6" t="s">
        <v>73</v>
      </c>
      <c r="P6" t="s">
        <v>107</v>
      </c>
      <c r="Q6">
        <f>'CD0 calculator'!K14</f>
        <v>0.5</v>
      </c>
      <c r="R6" t="s">
        <v>71</v>
      </c>
      <c r="S6" s="40">
        <f t="shared" si="0"/>
        <v>6</v>
      </c>
      <c r="T6" t="s">
        <v>73</v>
      </c>
      <c r="U6" t="s">
        <v>193</v>
      </c>
      <c r="V6">
        <v>1.32E-3</v>
      </c>
      <c r="W6" t="s">
        <v>192</v>
      </c>
      <c r="X6" t="s">
        <v>194</v>
      </c>
    </row>
    <row r="7" spans="1:24" x14ac:dyDescent="0.25">
      <c r="A7" t="s">
        <v>107</v>
      </c>
      <c r="B7">
        <f>'CD0 calculator'!B15</f>
        <v>1.0954451150103321</v>
      </c>
      <c r="C7" t="s">
        <v>71</v>
      </c>
      <c r="D7" s="40">
        <f>B7*12</f>
        <v>13.145341380123986</v>
      </c>
      <c r="E7" t="s">
        <v>73</v>
      </c>
      <c r="F7" t="s">
        <v>126</v>
      </c>
      <c r="G7">
        <f>Fuse_H</f>
        <v>0.45833333333333331</v>
      </c>
      <c r="H7" t="s">
        <v>71</v>
      </c>
      <c r="I7" s="40">
        <f t="shared" si="1"/>
        <v>5.5</v>
      </c>
      <c r="J7" t="s">
        <v>73</v>
      </c>
      <c r="K7" t="s">
        <v>116</v>
      </c>
      <c r="L7">
        <f>tOc_HT</f>
        <v>0.12</v>
      </c>
      <c r="N7" s="40"/>
      <c r="P7" t="s">
        <v>116</v>
      </c>
      <c r="Q7">
        <f>tOc_VT</f>
        <v>0.12</v>
      </c>
      <c r="S7" s="40"/>
    </row>
    <row r="8" spans="1:24" x14ac:dyDescent="0.25">
      <c r="A8" t="s">
        <v>116</v>
      </c>
      <c r="B8">
        <f>tOC_wing</f>
        <v>0.18</v>
      </c>
      <c r="K8" t="s">
        <v>195</v>
      </c>
      <c r="L8">
        <f xml:space="preserve"> 2*(5*L7)*(0.296/(3/2)-0.126/2-0.3516/3+0.2843/4-0.1015/5)</f>
        <v>8.1489999999999979E-2</v>
      </c>
      <c r="N8" s="40"/>
      <c r="P8" t="s">
        <v>195</v>
      </c>
      <c r="Q8">
        <f xml:space="preserve"> 2*(5*Q7)*(0.296/(3/2)-0.126/2-0.3516/3+0.2843/4-0.1015/5)</f>
        <v>8.1489999999999979E-2</v>
      </c>
      <c r="S8" s="40"/>
    </row>
    <row r="9" spans="1:24" x14ac:dyDescent="0.25">
      <c r="A9" t="s">
        <v>195</v>
      </c>
      <c r="B9">
        <f xml:space="preserve"> 2*(5*B8)*(0.296/(3/2)-0.126/2-0.3516/3+0.2843/4-0.1015/5)</f>
        <v>0.12223499999999997</v>
      </c>
      <c r="K9" t="s">
        <v>196</v>
      </c>
      <c r="L9">
        <f>S_HT/'CD0 calculator'!H14</f>
        <v>1.9</v>
      </c>
      <c r="M9" t="s">
        <v>71</v>
      </c>
      <c r="N9" s="40">
        <f t="shared" si="2"/>
        <v>22.799999999999997</v>
      </c>
      <c r="O9" t="s">
        <v>73</v>
      </c>
      <c r="P9" t="s">
        <v>196</v>
      </c>
      <c r="Q9">
        <f>Q5/Q6</f>
        <v>0.6</v>
      </c>
      <c r="R9" t="s">
        <v>71</v>
      </c>
      <c r="S9">
        <f>Q9*12</f>
        <v>7.1999999999999993</v>
      </c>
      <c r="T9" t="s">
        <v>73</v>
      </c>
    </row>
    <row r="12" spans="1:24" x14ac:dyDescent="0.25">
      <c r="B12" t="s">
        <v>197</v>
      </c>
      <c r="F12" t="s">
        <v>198</v>
      </c>
    </row>
    <row r="13" spans="1:24" x14ac:dyDescent="0.25">
      <c r="A13" t="s">
        <v>199</v>
      </c>
      <c r="B13">
        <f>(B9*B6)*(B6-G6)/B5</f>
        <v>0.24396174416948599</v>
      </c>
      <c r="C13" t="s">
        <v>200</v>
      </c>
      <c r="D13">
        <f>B13*12^3</f>
        <v>421.56589392487177</v>
      </c>
      <c r="E13" t="s">
        <v>201</v>
      </c>
      <c r="F13">
        <f>D13*V6</f>
        <v>0.55646697998083072</v>
      </c>
      <c r="G13" t="s">
        <v>202</v>
      </c>
      <c r="H13" s="95" t="s">
        <v>215</v>
      </c>
    </row>
    <row r="14" spans="1:24" x14ac:dyDescent="0.25">
      <c r="A14" t="s">
        <v>203</v>
      </c>
      <c r="B14">
        <f>D14/12^3</f>
        <v>0.13629376446759259</v>
      </c>
      <c r="C14" t="s">
        <v>200</v>
      </c>
      <c r="D14">
        <f>I5*I6*I7-(I5-0.25)*(I6-0.25)*(I7-0.25)</f>
        <v>235.515625</v>
      </c>
      <c r="E14" t="s">
        <v>201</v>
      </c>
      <c r="F14">
        <f>D14*V5</f>
        <v>1.3612803125000001</v>
      </c>
      <c r="G14" t="s">
        <v>202</v>
      </c>
      <c r="H14" s="95" t="s">
        <v>216</v>
      </c>
    </row>
    <row r="15" spans="1:24" x14ac:dyDescent="0.25">
      <c r="A15" t="s">
        <v>204</v>
      </c>
      <c r="B15">
        <f>(L8*L9*L6)</f>
        <v>7.741549999999997E-2</v>
      </c>
      <c r="C15" t="s">
        <v>200</v>
      </c>
      <c r="D15">
        <f>B15*12^3</f>
        <v>133.77398399999996</v>
      </c>
      <c r="E15" t="s">
        <v>201</v>
      </c>
      <c r="F15">
        <f>D15*V6</f>
        <v>0.17658165887999994</v>
      </c>
      <c r="G15" t="s">
        <v>202</v>
      </c>
      <c r="H15" s="95" t="s">
        <v>215</v>
      </c>
    </row>
    <row r="16" spans="1:24" x14ac:dyDescent="0.25">
      <c r="A16" t="s">
        <v>205</v>
      </c>
      <c r="B16">
        <f>(Q8*Q9*Q6)</f>
        <v>2.4446999999999993E-2</v>
      </c>
      <c r="C16" t="s">
        <v>200</v>
      </c>
      <c r="D16" s="40">
        <f>B16*12^3</f>
        <v>42.244415999999987</v>
      </c>
      <c r="E16" t="s">
        <v>201</v>
      </c>
      <c r="F16">
        <f>D16*V6</f>
        <v>5.5762629119999983E-2</v>
      </c>
      <c r="G16" t="s">
        <v>202</v>
      </c>
      <c r="H16" s="95" t="s">
        <v>215</v>
      </c>
    </row>
    <row r="17" spans="1:8" x14ac:dyDescent="0.25">
      <c r="A17" t="s">
        <v>217</v>
      </c>
      <c r="F17">
        <v>0.5</v>
      </c>
      <c r="G17" s="40" t="s">
        <v>202</v>
      </c>
      <c r="H17" s="95" t="s">
        <v>218</v>
      </c>
    </row>
    <row r="18" spans="1:8" x14ac:dyDescent="0.25">
      <c r="A18" t="s">
        <v>219</v>
      </c>
      <c r="F18">
        <v>0.25</v>
      </c>
      <c r="G18" s="40" t="s">
        <v>202</v>
      </c>
      <c r="H18" s="95" t="s">
        <v>220</v>
      </c>
    </row>
    <row r="19" spans="1:8" x14ac:dyDescent="0.25">
      <c r="A19" t="s">
        <v>221</v>
      </c>
      <c r="F19">
        <v>0.25</v>
      </c>
      <c r="G19" s="40" t="s">
        <v>202</v>
      </c>
      <c r="H19" s="95" t="s">
        <v>222</v>
      </c>
    </row>
    <row r="20" spans="1:8" x14ac:dyDescent="0.25">
      <c r="A20" t="s">
        <v>206</v>
      </c>
      <c r="F20" s="87">
        <f>ROUND(SUM(F13:F19),2)</f>
        <v>3.15</v>
      </c>
      <c r="G20" t="s">
        <v>202</v>
      </c>
    </row>
    <row r="21" spans="1:8" x14ac:dyDescent="0.25">
      <c r="F21" s="87">
        <f>F20*16</f>
        <v>50.4</v>
      </c>
      <c r="G21" t="s">
        <v>59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Performance Data</vt:lpstr>
      <vt:lpstr>Aircraft Dimensions</vt:lpstr>
      <vt:lpstr>CD0 calculator</vt:lpstr>
      <vt:lpstr>Aircraft Weight</vt:lpstr>
      <vt:lpstr>AR</vt:lpstr>
      <vt:lpstr>AR_e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ENDURANCE</vt:lpstr>
      <vt:lpstr>EW</vt:lpstr>
      <vt:lpstr>ExternalServoHeight</vt:lpstr>
      <vt:lpstr>ExternalServoWidth</vt:lpstr>
      <vt:lpstr>Fuse_H</vt:lpstr>
      <vt:lpstr>Fuse_Len</vt:lpstr>
      <vt:lpstr>Fuse_W</vt:lpstr>
      <vt:lpstr>HEADWIND</vt:lpstr>
      <vt:lpstr>LandingGearHeight</vt:lpstr>
      <vt:lpstr>LandingGearWidth</vt:lpstr>
      <vt:lpstr>M1_TURN_MARGIN</vt:lpstr>
      <vt:lpstr>m2_turn_margin</vt:lpstr>
      <vt:lpstr>m3_turn_margin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Tail_End_Height</vt:lpstr>
      <vt:lpstr>Tail_End_Width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TrunionHeight</vt:lpstr>
      <vt:lpstr>TrunionWidth</vt:lpstr>
      <vt:lpstr>WSPAN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Timothy Takahashi</cp:lastModifiedBy>
  <cp:lastPrinted>2014-12-18T16:36:06Z</cp:lastPrinted>
  <dcterms:created xsi:type="dcterms:W3CDTF">2012-11-17T04:50:56Z</dcterms:created>
  <dcterms:modified xsi:type="dcterms:W3CDTF">2017-09-22T21:14:19Z</dcterms:modified>
</cp:coreProperties>
</file>