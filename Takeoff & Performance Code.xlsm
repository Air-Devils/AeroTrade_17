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326" codeName="{00CF4601-37BD-836D-55AB-7E336CB4BC7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hilip Thomas\Google Drive\School\Air Devils\AeroCodes\ExcelCodes\"/>
    </mc:Choice>
  </mc:AlternateContent>
  <bookViews>
    <workbookView xWindow="0" yWindow="0" windowWidth="28800" windowHeight="12360" xr2:uid="{00000000-000D-0000-FFFF-FFFF00000000}"/>
  </bookViews>
  <sheets>
    <sheet name="Performance Data" sheetId="1" r:id="rId1"/>
    <sheet name="Aircraft Dimensions" sheetId="3" r:id="rId2"/>
    <sheet name="CD0 calculator" sheetId="2" r:id="rId3"/>
    <sheet name="Aircraft Weight" sheetId="4" r:id="rId4"/>
  </sheets>
  <definedNames>
    <definedName name="AR">'CD0 calculator'!$B$13</definedName>
    <definedName name="AR_e">'Performance Data'!$P$12</definedName>
    <definedName name="BATWEIGHT">'Performance Data'!$B$21</definedName>
    <definedName name="CARGO_HEIGHT">'Aircraft Dimensions'!$O$3</definedName>
    <definedName name="CARGO_LENGTH">'Aircraft Dimensions'!$N$3</definedName>
    <definedName name="CARGO_ROWS">'Aircraft Dimensions'!$E$2</definedName>
    <definedName name="CARGO_WIDTH">'Aircraft Dimensions'!$M$3</definedName>
    <definedName name="CARGOperROW">'Aircraft Dimensions'!$D$2</definedName>
    <definedName name="CD0">'Performance Data'!$P$11</definedName>
    <definedName name="CRUD_HEIGHT">'Aircraft Dimensions'!$H$8</definedName>
    <definedName name="CRUD_LENGTH">'Aircraft Dimensions'!$H$6</definedName>
    <definedName name="CRUD_LENGTH_nose">'Aircraft Dimensions'!$H$7</definedName>
    <definedName name="CRUD_LENGTH_tail">'Aircraft Dimensions'!$H$6</definedName>
    <definedName name="CRUD_WIDTH">'Aircraft Dimensions'!$H$5</definedName>
    <definedName name="ENDURANCE">'Performance Data'!$B$22</definedName>
    <definedName name="EW">'Aircraft Weight'!$F$20</definedName>
    <definedName name="ExternalServoHeight">'Aircraft Dimensions'!$E$19</definedName>
    <definedName name="ExternalServoWidth">'Aircraft Dimensions'!$E$18</definedName>
    <definedName name="Fuse_H">'CD0 calculator'!$N$15</definedName>
    <definedName name="Fuse_Len">'CD0 calculator'!$N$13</definedName>
    <definedName name="Fuse_W">'CD0 calculator'!$N$14</definedName>
    <definedName name="HEADWIND">'Performance Data'!$P$14</definedName>
    <definedName name="LandingGearHeight">'Aircraft Dimensions'!$E$17</definedName>
    <definedName name="LandingGearWidth">'Aircraft Dimensions'!$E$16</definedName>
    <definedName name="M1_TURN_MARGIN">'Performance Data'!$L$9</definedName>
    <definedName name="m2_turn_margin">'Performance Data'!$L$14</definedName>
    <definedName name="m3_turn_margin">'Performance Data'!$L$19</definedName>
    <definedName name="MISSION1_STALL">'Performance Data'!$J$6</definedName>
    <definedName name="MISSION1_TODIST">'Performance Data'!$J$8</definedName>
    <definedName name="MISSION1_TOP">'Performance Data'!$J$7</definedName>
    <definedName name="MISSION1_WARNING">'Performance Data'!$L$8</definedName>
    <definedName name="MISSION2_STALL">'Performance Data'!$J$11</definedName>
    <definedName name="MISSION2_TIME">'Performance Data'!$B$45</definedName>
    <definedName name="MISSION2_TODIST">'Performance Data'!$J$13</definedName>
    <definedName name="MISSION2_TOP">'Performance Data'!$J$12</definedName>
    <definedName name="MISSION2_WARNING">'Performance Data'!$L$13</definedName>
    <definedName name="MISSION3_LAPS">'Performance Data'!$B$49</definedName>
    <definedName name="MISSION3_STALL">'Performance Data'!$J$16</definedName>
    <definedName name="MISSION3_TODIST">'Performance Data'!$J$18</definedName>
    <definedName name="MISSION3_TOP">'Performance Data'!$J$17</definedName>
    <definedName name="MISSION3_WARNING">'Performance Data'!$L$18</definedName>
    <definedName name="NBLOX">'Performance Data'!$B$33</definedName>
    <definedName name="NENG">'Performance Data'!$P$9</definedName>
    <definedName name="NPAX">'Performance Data'!$B$31</definedName>
    <definedName name="NUMCELLS">'Performance Data'!$B$19</definedName>
    <definedName name="OEW">'Performance Data'!$B$29</definedName>
    <definedName name="OverallScore">'Performance Data'!$B$59</definedName>
    <definedName name="PAX_DIMENSIONS">'Aircraft Dimensions'!$M$2</definedName>
    <definedName name="PAX_ROWS">'Aircraft Dimensions'!$B$2</definedName>
    <definedName name="PAXperROW">'Aircraft Dimensions'!$A$2</definedName>
    <definedName name="penalty">'Performance Data'!$L$22</definedName>
    <definedName name="RAC">'Performance Data'!$B$57</definedName>
    <definedName name="S_HT">'CD0 calculator'!$H$12</definedName>
    <definedName name="S_VT">'CD0 calculator'!$K$12</definedName>
    <definedName name="Spi">'CD0 calculator'!$N$16</definedName>
    <definedName name="Sref">'CD0 calculator'!$B$12</definedName>
    <definedName name="SWET_fuse">'Aircraft Dimensions'!$B$18</definedName>
    <definedName name="SWET_mid">'Aircraft Dimensions'!$B$16</definedName>
    <definedName name="SWET_nose">'Aircraft Dimensions'!$B$17</definedName>
    <definedName name="sWet_t">'Aircraft Dimensions'!$A$15</definedName>
    <definedName name="SWET_tail">'Aircraft Dimensions'!$B$15</definedName>
    <definedName name="sync">'Performance Data'!$J$23</definedName>
    <definedName name="Tail_End_Height">'Aircraft Dimensions'!$E$15</definedName>
    <definedName name="Tail_End_Width">'Aircraft Dimensions'!$E$14</definedName>
    <definedName name="TAIL_Swet">'Aircraft Dimensions'!$A$15</definedName>
    <definedName name="Tire_D">'CD0 calculator'!$R$12</definedName>
    <definedName name="Tire_W">'CD0 calculator'!$R$13</definedName>
    <definedName name="tOc_HT">'CD0 calculator'!$H$15</definedName>
    <definedName name="tOc_VT">'CD0 calculator'!$K$15</definedName>
    <definedName name="tOC_wing">'CD0 calculator'!$B$17</definedName>
    <definedName name="TOW_M1">'Performance Data'!$B$38</definedName>
    <definedName name="TOW_M2">'Performance Data'!$B$39</definedName>
    <definedName name="TOW_M3">'Performance Data'!$B$40</definedName>
    <definedName name="TrunionHeight">'Aircraft Dimensions'!$E$21</definedName>
    <definedName name="TrunionWidth">'Aircraft Dimensions'!$E$20</definedName>
    <definedName name="WSPAN">'Performance Data'!$B$51</definedName>
  </definedNames>
  <calcPr calcId="171027"/>
  <fileRecoveryPr autoRecover="0"/>
</workbook>
</file>

<file path=xl/calcChain.xml><?xml version="1.0" encoding="utf-8"?>
<calcChain xmlns="http://schemas.openxmlformats.org/spreadsheetml/2006/main">
  <c r="H2" i="3" l="1"/>
  <c r="O2" i="3" l="1"/>
  <c r="N2" i="3"/>
  <c r="H3" i="3" l="1"/>
  <c r="H1" i="3"/>
  <c r="B8" i="4" l="1"/>
  <c r="B22" i="1"/>
  <c r="B21" i="1"/>
  <c r="S5" i="4" l="1"/>
  <c r="S6" i="4"/>
  <c r="Q7" i="4"/>
  <c r="Q8" i="4" s="1"/>
  <c r="Q6" i="4"/>
  <c r="Q5" i="4"/>
  <c r="Q9" i="4" s="1"/>
  <c r="S9" i="4" s="1"/>
  <c r="L6" i="4"/>
  <c r="N6" i="4" s="1"/>
  <c r="L5" i="4"/>
  <c r="N5" i="4" s="1"/>
  <c r="L9" i="4"/>
  <c r="N9" i="4" s="1"/>
  <c r="L7" i="4"/>
  <c r="L8" i="4" s="1"/>
  <c r="B15" i="4" s="1"/>
  <c r="D15" i="4" s="1"/>
  <c r="F15" i="4" s="1"/>
  <c r="B9" i="4"/>
  <c r="B5" i="4"/>
  <c r="B16" i="4" l="1"/>
  <c r="D16" i="4" s="1"/>
  <c r="F16" i="4" s="1"/>
  <c r="L19" i="1"/>
  <c r="L14" i="1"/>
  <c r="L9" i="1"/>
  <c r="F21" i="3" l="1"/>
  <c r="F19" i="3"/>
  <c r="F17" i="3"/>
  <c r="F15" i="3"/>
  <c r="F22" i="3" l="1"/>
  <c r="O18" i="1"/>
  <c r="O19" i="1" s="1"/>
  <c r="O20" i="1" s="1"/>
  <c r="O21" i="1" s="1"/>
  <c r="O22" i="1" s="1"/>
  <c r="O23" i="1" s="1"/>
  <c r="O24" i="1" s="1"/>
  <c r="O25" i="1" s="1"/>
  <c r="O26" i="1" s="1"/>
  <c r="O27" i="1" s="1"/>
  <c r="O28" i="1" s="1"/>
  <c r="O29" i="1" s="1"/>
  <c r="O30" i="1" s="1"/>
  <c r="O31" i="1" s="1"/>
  <c r="O32" i="1" s="1"/>
  <c r="O33" i="1" s="1"/>
  <c r="O34" i="1" s="1"/>
  <c r="O35" i="1" s="1"/>
  <c r="O36" i="1" s="1"/>
  <c r="O37" i="1" s="1"/>
  <c r="O38" i="1" s="1"/>
  <c r="O39" i="1" s="1"/>
  <c r="O40" i="1" s="1"/>
  <c r="O41" i="1" s="1"/>
  <c r="O42" i="1" s="1"/>
  <c r="O43" i="1" s="1"/>
  <c r="O44" i="1" s="1"/>
  <c r="O45" i="1" s="1"/>
  <c r="O46" i="1" s="1"/>
  <c r="O47" i="1" s="1"/>
  <c r="O48" i="1" s="1"/>
  <c r="P48" i="1" s="1"/>
  <c r="U45" i="1" l="1"/>
  <c r="P44" i="1"/>
  <c r="U48" i="1"/>
  <c r="P47" i="1"/>
  <c r="Q47" i="1" s="1"/>
  <c r="U43" i="1"/>
  <c r="O49" i="1"/>
  <c r="U46" i="1"/>
  <c r="P45" i="1"/>
  <c r="Q45" i="1" s="1"/>
  <c r="U47" i="1"/>
  <c r="P46" i="1"/>
  <c r="Q46" i="1" s="1"/>
  <c r="U44" i="1"/>
  <c r="P43" i="1"/>
  <c r="Q43" i="1" s="1"/>
  <c r="Q48" i="1"/>
  <c r="Q44" i="1"/>
  <c r="U42" i="1"/>
  <c r="P40" i="1"/>
  <c r="Q40" i="1" s="1"/>
  <c r="U39" i="1"/>
  <c r="P39" i="1"/>
  <c r="U38" i="1"/>
  <c r="P36" i="1"/>
  <c r="Q36" i="1" s="1"/>
  <c r="P42" i="1"/>
  <c r="Q42" i="1" s="1"/>
  <c r="U41" i="1"/>
  <c r="P41" i="1"/>
  <c r="U40" i="1"/>
  <c r="P38" i="1"/>
  <c r="Q38" i="1" s="1"/>
  <c r="U37" i="1"/>
  <c r="P37" i="1"/>
  <c r="U36" i="1"/>
  <c r="I2" i="3"/>
  <c r="H10" i="3" l="1"/>
  <c r="U49" i="1"/>
  <c r="O50" i="1"/>
  <c r="P49" i="1"/>
  <c r="Q49" i="1" s="1"/>
  <c r="Q37" i="1"/>
  <c r="Q41" i="1"/>
  <c r="Q39" i="1"/>
  <c r="B34" i="1"/>
  <c r="B32" i="1"/>
  <c r="O51" i="1" l="1"/>
  <c r="P50" i="1"/>
  <c r="Q50" i="1" s="1"/>
  <c r="U50" i="1"/>
  <c r="N13" i="2"/>
  <c r="G5" i="4" s="1"/>
  <c r="I5" i="4" s="1"/>
  <c r="F2" i="3"/>
  <c r="B33" i="1" s="1"/>
  <c r="I1" i="3"/>
  <c r="K3" i="3"/>
  <c r="H11" i="3"/>
  <c r="C2" i="3"/>
  <c r="B31" i="1" s="1"/>
  <c r="H9" i="3"/>
  <c r="N15" i="2" l="1"/>
  <c r="G7" i="4" s="1"/>
  <c r="I7" i="4" s="1"/>
  <c r="B16" i="3"/>
  <c r="C16" i="3" s="1"/>
  <c r="N14" i="2"/>
  <c r="B17" i="3"/>
  <c r="B15" i="3"/>
  <c r="O52" i="1"/>
  <c r="P51" i="1"/>
  <c r="Q51" i="1" s="1"/>
  <c r="U51" i="1"/>
  <c r="C17" i="3" l="1"/>
  <c r="C15" i="3"/>
  <c r="N3" i="2"/>
  <c r="G6" i="4"/>
  <c r="B18" i="3"/>
  <c r="C18" i="3" s="1"/>
  <c r="N12" i="2" s="1"/>
  <c r="O53" i="1"/>
  <c r="U52" i="1"/>
  <c r="P52" i="1"/>
  <c r="Q52" i="1" s="1"/>
  <c r="J23" i="1"/>
  <c r="I6" i="4" l="1"/>
  <c r="D14" i="4" s="1"/>
  <c r="F14" i="4" s="1"/>
  <c r="O54" i="1"/>
  <c r="P53" i="1"/>
  <c r="Q53" i="1" s="1"/>
  <c r="U53" i="1"/>
  <c r="B24" i="2"/>
  <c r="N18" i="2"/>
  <c r="C24" i="2" s="1"/>
  <c r="C26" i="2"/>
  <c r="C25" i="2"/>
  <c r="R15" i="2"/>
  <c r="B28" i="2" s="1"/>
  <c r="F28" i="2" s="1"/>
  <c r="B27" i="2"/>
  <c r="F27" i="2" s="1"/>
  <c r="N16" i="2"/>
  <c r="K13" i="2"/>
  <c r="B26" i="2" s="1"/>
  <c r="H13" i="2"/>
  <c r="B25" i="2" s="1"/>
  <c r="C23" i="2"/>
  <c r="B16" i="2"/>
  <c r="B23" i="2" s="1"/>
  <c r="B14" i="2"/>
  <c r="C6" i="2"/>
  <c r="C8" i="2" s="1"/>
  <c r="B15" i="2" l="1"/>
  <c r="B7" i="4" s="1"/>
  <c r="D7" i="4" s="1"/>
  <c r="B6" i="4"/>
  <c r="O55" i="1"/>
  <c r="P54" i="1"/>
  <c r="Q54" i="1" s="1"/>
  <c r="U54" i="1"/>
  <c r="C7" i="2"/>
  <c r="D14" i="2"/>
  <c r="B47" i="1"/>
  <c r="B48" i="1" s="1"/>
  <c r="B43" i="1"/>
  <c r="D15" i="2" l="1"/>
  <c r="D6" i="4"/>
  <c r="B13" i="4"/>
  <c r="D13" i="4" s="1"/>
  <c r="F13" i="4" s="1"/>
  <c r="F20" i="4" s="1"/>
  <c r="F21" i="4" s="1"/>
  <c r="O56" i="1"/>
  <c r="U55" i="1"/>
  <c r="P55" i="1"/>
  <c r="Q55" i="1" s="1"/>
  <c r="D26" i="2"/>
  <c r="E26" i="2" s="1"/>
  <c r="F26" i="2" s="1"/>
  <c r="D25" i="2"/>
  <c r="E25" i="2" s="1"/>
  <c r="F25" i="2" s="1"/>
  <c r="D24" i="2"/>
  <c r="E24" i="2" s="1"/>
  <c r="F24" i="2" s="1"/>
  <c r="D23" i="2"/>
  <c r="E23" i="2" s="1"/>
  <c r="F23" i="2" s="1"/>
  <c r="P8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B29" i="1" l="1"/>
  <c r="O57" i="1"/>
  <c r="P56" i="1"/>
  <c r="Q56" i="1" s="1"/>
  <c r="U56" i="1"/>
  <c r="F29" i="2"/>
  <c r="F30" i="2" s="1"/>
  <c r="P11" i="1" s="1"/>
  <c r="T116" i="1" s="1"/>
  <c r="F47" i="1"/>
  <c r="U13" i="1"/>
  <c r="B51" i="1" s="1"/>
  <c r="B49" i="1"/>
  <c r="B55" i="1" s="1"/>
  <c r="B44" i="1"/>
  <c r="B45" i="1" s="1"/>
  <c r="B54" i="1" s="1"/>
  <c r="S112" i="1"/>
  <c r="S113" i="1"/>
  <c r="S114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O58" i="1" l="1"/>
  <c r="U57" i="1"/>
  <c r="P57" i="1"/>
  <c r="Q57" i="1" s="1"/>
  <c r="T110" i="1"/>
  <c r="T109" i="1"/>
  <c r="T108" i="1"/>
  <c r="T106" i="1"/>
  <c r="T105" i="1"/>
  <c r="T100" i="1"/>
  <c r="T111" i="1"/>
  <c r="T107" i="1"/>
  <c r="T103" i="1"/>
  <c r="T114" i="1"/>
  <c r="T113" i="1"/>
  <c r="T119" i="1"/>
  <c r="T127" i="1"/>
  <c r="T104" i="1"/>
  <c r="T102" i="1"/>
  <c r="T101" i="1"/>
  <c r="T112" i="1"/>
  <c r="T134" i="1"/>
  <c r="T123" i="1"/>
  <c r="T129" i="1"/>
  <c r="T117" i="1"/>
  <c r="T132" i="1"/>
  <c r="T115" i="1"/>
  <c r="T120" i="1"/>
  <c r="T124" i="1"/>
  <c r="T128" i="1"/>
  <c r="T133" i="1"/>
  <c r="T118" i="1"/>
  <c r="T121" i="1"/>
  <c r="T122" i="1"/>
  <c r="T125" i="1"/>
  <c r="T130" i="1"/>
  <c r="T126" i="1"/>
  <c r="T131" i="1"/>
  <c r="Y8" i="1"/>
  <c r="O59" i="1" l="1"/>
  <c r="P58" i="1"/>
  <c r="Q58" i="1" s="1"/>
  <c r="U58" i="1"/>
  <c r="E9" i="1"/>
  <c r="O60" i="1" l="1"/>
  <c r="P59" i="1"/>
  <c r="Q59" i="1" s="1"/>
  <c r="U59" i="1"/>
  <c r="B57" i="1"/>
  <c r="B38" i="1"/>
  <c r="U16" i="1"/>
  <c r="O61" i="1" l="1"/>
  <c r="U60" i="1"/>
  <c r="P60" i="1"/>
  <c r="Q60" i="1" s="1"/>
  <c r="Z74" i="1"/>
  <c r="O62" i="1" l="1"/>
  <c r="P61" i="1"/>
  <c r="Q61" i="1" s="1"/>
  <c r="U61" i="1"/>
  <c r="L22" i="1"/>
  <c r="B59" i="1" l="1"/>
  <c r="O63" i="1"/>
  <c r="P62" i="1"/>
  <c r="Q62" i="1" s="1"/>
  <c r="U62" i="1"/>
  <c r="W74" i="1"/>
  <c r="O64" i="1" l="1"/>
  <c r="U63" i="1"/>
  <c r="P63" i="1"/>
  <c r="Q63" i="1" s="1"/>
  <c r="S90" i="1"/>
  <c r="T90" i="1" s="1"/>
  <c r="S91" i="1"/>
  <c r="T91" i="1" s="1"/>
  <c r="S92" i="1"/>
  <c r="T92" i="1" s="1"/>
  <c r="S93" i="1"/>
  <c r="T93" i="1" s="1"/>
  <c r="S94" i="1"/>
  <c r="T94" i="1" s="1"/>
  <c r="S95" i="1"/>
  <c r="T95" i="1" s="1"/>
  <c r="S96" i="1"/>
  <c r="T96" i="1" s="1"/>
  <c r="S97" i="1"/>
  <c r="T97" i="1" s="1"/>
  <c r="S98" i="1"/>
  <c r="T98" i="1" s="1"/>
  <c r="S99" i="1"/>
  <c r="T99" i="1" s="1"/>
  <c r="O75" i="1"/>
  <c r="O76" i="1" s="1"/>
  <c r="O77" i="1" s="1"/>
  <c r="O78" i="1" s="1"/>
  <c r="O79" i="1" s="1"/>
  <c r="O80" i="1" s="1"/>
  <c r="O81" i="1" s="1"/>
  <c r="O82" i="1" s="1"/>
  <c r="O83" i="1" s="1"/>
  <c r="O84" i="1" s="1"/>
  <c r="O85" i="1" s="1"/>
  <c r="O86" i="1" s="1"/>
  <c r="O87" i="1" s="1"/>
  <c r="O88" i="1" s="1"/>
  <c r="O89" i="1" s="1"/>
  <c r="O90" i="1" s="1"/>
  <c r="S75" i="1"/>
  <c r="T75" i="1" s="1"/>
  <c r="S76" i="1"/>
  <c r="T76" i="1" s="1"/>
  <c r="S77" i="1"/>
  <c r="T77" i="1" s="1"/>
  <c r="S78" i="1"/>
  <c r="T78" i="1" s="1"/>
  <c r="S79" i="1"/>
  <c r="T79" i="1" s="1"/>
  <c r="S80" i="1"/>
  <c r="T80" i="1" s="1"/>
  <c r="S81" i="1"/>
  <c r="T81" i="1" s="1"/>
  <c r="S82" i="1"/>
  <c r="T82" i="1" s="1"/>
  <c r="S83" i="1"/>
  <c r="T83" i="1" s="1"/>
  <c r="S84" i="1"/>
  <c r="T84" i="1" s="1"/>
  <c r="S85" i="1"/>
  <c r="T85" i="1" s="1"/>
  <c r="S86" i="1"/>
  <c r="T86" i="1" s="1"/>
  <c r="S87" i="1"/>
  <c r="T87" i="1" s="1"/>
  <c r="S88" i="1"/>
  <c r="T88" i="1" s="1"/>
  <c r="S89" i="1"/>
  <c r="T89" i="1" s="1"/>
  <c r="S74" i="1"/>
  <c r="Q74" i="1"/>
  <c r="O65" i="1" l="1"/>
  <c r="P64" i="1"/>
  <c r="Q64" i="1" s="1"/>
  <c r="U64" i="1"/>
  <c r="O91" i="1"/>
  <c r="O92" i="1" s="1"/>
  <c r="O93" i="1" s="1"/>
  <c r="O94" i="1" s="1"/>
  <c r="O95" i="1" s="1"/>
  <c r="O96" i="1" s="1"/>
  <c r="O97" i="1" s="1"/>
  <c r="O98" i="1" s="1"/>
  <c r="O99" i="1" s="1"/>
  <c r="O100" i="1" s="1"/>
  <c r="O101" i="1" s="1"/>
  <c r="O102" i="1" s="1"/>
  <c r="O103" i="1" s="1"/>
  <c r="O104" i="1" s="1"/>
  <c r="O105" i="1" s="1"/>
  <c r="O106" i="1" s="1"/>
  <c r="O107" i="1" s="1"/>
  <c r="O108" i="1" s="1"/>
  <c r="O109" i="1" s="1"/>
  <c r="O110" i="1" s="1"/>
  <c r="O111" i="1" s="1"/>
  <c r="O112" i="1" s="1"/>
  <c r="O113" i="1" s="1"/>
  <c r="O114" i="1" s="1"/>
  <c r="O115" i="1" s="1"/>
  <c r="O116" i="1" s="1"/>
  <c r="O117" i="1" s="1"/>
  <c r="O118" i="1" s="1"/>
  <c r="O119" i="1" s="1"/>
  <c r="O120" i="1" s="1"/>
  <c r="O121" i="1" s="1"/>
  <c r="O122" i="1" s="1"/>
  <c r="O123" i="1" s="1"/>
  <c r="O124" i="1" s="1"/>
  <c r="O125" i="1" s="1"/>
  <c r="O126" i="1" s="1"/>
  <c r="O127" i="1" s="1"/>
  <c r="O128" i="1" s="1"/>
  <c r="O129" i="1" s="1"/>
  <c r="O130" i="1" s="1"/>
  <c r="O131" i="1" s="1"/>
  <c r="O132" i="1" s="1"/>
  <c r="O133" i="1" s="1"/>
  <c r="O134" i="1" s="1"/>
  <c r="R74" i="1"/>
  <c r="U74" i="1" s="1"/>
  <c r="P16" i="1"/>
  <c r="U17" i="1"/>
  <c r="O66" i="1" l="1"/>
  <c r="U65" i="1"/>
  <c r="P65" i="1"/>
  <c r="Q65" i="1" s="1"/>
  <c r="P17" i="1"/>
  <c r="Q16" i="1"/>
  <c r="T74" i="1"/>
  <c r="O67" i="1" l="1"/>
  <c r="O68" i="1" s="1"/>
  <c r="U66" i="1"/>
  <c r="P66" i="1"/>
  <c r="Q66" i="1" s="1"/>
  <c r="P18" i="1"/>
  <c r="Q18" i="1" s="1"/>
  <c r="U18" i="1"/>
  <c r="Q17" i="1"/>
  <c r="U19" i="1"/>
  <c r="U20" i="1" l="1"/>
  <c r="P19" i="1"/>
  <c r="Q19" i="1" l="1"/>
  <c r="U21" i="1"/>
  <c r="P20" i="1"/>
  <c r="Q20" i="1" l="1"/>
  <c r="U22" i="1"/>
  <c r="P21" i="1"/>
  <c r="Q21" i="1" l="1"/>
  <c r="U23" i="1"/>
  <c r="P22" i="1"/>
  <c r="Q22" i="1" l="1"/>
  <c r="U24" i="1"/>
  <c r="P23" i="1"/>
  <c r="U25" i="1" l="1"/>
  <c r="P24" i="1"/>
  <c r="Q23" i="1"/>
  <c r="Q24" i="1" l="1"/>
  <c r="U26" i="1"/>
  <c r="P25" i="1"/>
  <c r="Q25" i="1" l="1"/>
  <c r="U27" i="1"/>
  <c r="P26" i="1"/>
  <c r="Q26" i="1" l="1"/>
  <c r="U28" i="1"/>
  <c r="P27" i="1"/>
  <c r="Q27" i="1" l="1"/>
  <c r="U29" i="1"/>
  <c r="P28" i="1"/>
  <c r="Q28" i="1" l="1"/>
  <c r="U30" i="1"/>
  <c r="P29" i="1"/>
  <c r="Q29" i="1" l="1"/>
  <c r="U31" i="1"/>
  <c r="P30" i="1"/>
  <c r="Q30" i="1" l="1"/>
  <c r="U32" i="1"/>
  <c r="P31" i="1"/>
  <c r="Q31" i="1" l="1"/>
  <c r="U33" i="1"/>
  <c r="P32" i="1"/>
  <c r="Q32" i="1" l="1"/>
  <c r="U34" i="1"/>
  <c r="P33" i="1"/>
  <c r="Q33" i="1" l="1"/>
  <c r="U35" i="1"/>
  <c r="P34" i="1"/>
  <c r="Q34" i="1" l="1"/>
  <c r="P35" i="1"/>
  <c r="Q35" i="1" l="1"/>
  <c r="U67" i="1" l="1"/>
  <c r="U68" i="1" l="1"/>
  <c r="P67" i="1"/>
  <c r="Q67" i="1" l="1"/>
  <c r="P68" i="1"/>
  <c r="Q68" i="1" l="1"/>
  <c r="U8" i="1" l="1"/>
  <c r="U9" i="1" s="1"/>
  <c r="V74" i="1"/>
  <c r="X74" i="1" s="1"/>
  <c r="P75" i="1" s="1"/>
  <c r="W45" i="1" l="1"/>
  <c r="W49" i="1"/>
  <c r="W53" i="1"/>
  <c r="W57" i="1"/>
  <c r="W61" i="1"/>
  <c r="W63" i="1"/>
  <c r="W65" i="1"/>
  <c r="W66" i="1"/>
  <c r="W43" i="1"/>
  <c r="W47" i="1"/>
  <c r="W51" i="1"/>
  <c r="W55" i="1"/>
  <c r="W59" i="1"/>
  <c r="W64" i="1"/>
  <c r="W62" i="1"/>
  <c r="W60" i="1"/>
  <c r="W58" i="1"/>
  <c r="W56" i="1"/>
  <c r="W54" i="1"/>
  <c r="W52" i="1"/>
  <c r="W50" i="1"/>
  <c r="W48" i="1"/>
  <c r="W46" i="1"/>
  <c r="W44" i="1"/>
  <c r="W40" i="1"/>
  <c r="W36" i="1"/>
  <c r="W42" i="1"/>
  <c r="W38" i="1"/>
  <c r="W37" i="1"/>
  <c r="W41" i="1"/>
  <c r="W39" i="1"/>
  <c r="AA75" i="1"/>
  <c r="Z75" i="1"/>
  <c r="Y74" i="1"/>
  <c r="U10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67" i="1"/>
  <c r="W68" i="1"/>
  <c r="AC44" i="1" l="1"/>
  <c r="AD44" i="1" s="1"/>
  <c r="AB44" i="1"/>
  <c r="R44" i="1"/>
  <c r="S44" i="1" s="1"/>
  <c r="T44" i="1" s="1"/>
  <c r="V44" i="1" s="1"/>
  <c r="AA44" i="1" s="1"/>
  <c r="AC48" i="1"/>
  <c r="AD48" i="1" s="1"/>
  <c r="AB48" i="1"/>
  <c r="R48" i="1"/>
  <c r="S48" i="1" s="1"/>
  <c r="T48" i="1" s="1"/>
  <c r="V48" i="1" s="1"/>
  <c r="AA48" i="1" s="1"/>
  <c r="AC52" i="1"/>
  <c r="AD52" i="1" s="1"/>
  <c r="AB52" i="1"/>
  <c r="R52" i="1"/>
  <c r="S52" i="1" s="1"/>
  <c r="T52" i="1" s="1"/>
  <c r="V52" i="1" s="1"/>
  <c r="AA52" i="1" s="1"/>
  <c r="AC56" i="1"/>
  <c r="AD56" i="1" s="1"/>
  <c r="AB56" i="1"/>
  <c r="R56" i="1"/>
  <c r="S56" i="1" s="1"/>
  <c r="T56" i="1" s="1"/>
  <c r="V56" i="1" s="1"/>
  <c r="AA56" i="1" s="1"/>
  <c r="AC60" i="1"/>
  <c r="AD60" i="1" s="1"/>
  <c r="AB60" i="1"/>
  <c r="R60" i="1"/>
  <c r="S60" i="1" s="1"/>
  <c r="T60" i="1" s="1"/>
  <c r="V60" i="1" s="1"/>
  <c r="AA60" i="1" s="1"/>
  <c r="AC64" i="1"/>
  <c r="AD64" i="1" s="1"/>
  <c r="AB64" i="1"/>
  <c r="R64" i="1"/>
  <c r="S64" i="1" s="1"/>
  <c r="AC55" i="1"/>
  <c r="AD55" i="1" s="1"/>
  <c r="R55" i="1"/>
  <c r="S55" i="1" s="1"/>
  <c r="AB55" i="1"/>
  <c r="AC47" i="1"/>
  <c r="AD47" i="1" s="1"/>
  <c r="R47" i="1"/>
  <c r="S47" i="1" s="1"/>
  <c r="AB47" i="1"/>
  <c r="R66" i="1"/>
  <c r="S66" i="1" s="1"/>
  <c r="AC66" i="1"/>
  <c r="AD66" i="1" s="1"/>
  <c r="AB66" i="1"/>
  <c r="AC63" i="1"/>
  <c r="AD63" i="1" s="1"/>
  <c r="AB63" i="1"/>
  <c r="R63" i="1"/>
  <c r="S63" i="1" s="1"/>
  <c r="R57" i="1"/>
  <c r="S57" i="1" s="1"/>
  <c r="T57" i="1" s="1"/>
  <c r="V57" i="1" s="1"/>
  <c r="AA57" i="1" s="1"/>
  <c r="AC57" i="1"/>
  <c r="AD57" i="1" s="1"/>
  <c r="AB57" i="1"/>
  <c r="AC49" i="1"/>
  <c r="AD49" i="1" s="1"/>
  <c r="R49" i="1"/>
  <c r="AB49" i="1"/>
  <c r="Z43" i="1"/>
  <c r="Z44" i="1"/>
  <c r="Z47" i="1"/>
  <c r="Z48" i="1"/>
  <c r="Z51" i="1"/>
  <c r="Z52" i="1"/>
  <c r="Z55" i="1"/>
  <c r="Z56" i="1"/>
  <c r="Z59" i="1"/>
  <c r="Z60" i="1"/>
  <c r="Z62" i="1"/>
  <c r="Z64" i="1"/>
  <c r="Z45" i="1"/>
  <c r="Z46" i="1"/>
  <c r="Z49" i="1"/>
  <c r="Z50" i="1"/>
  <c r="Z53" i="1"/>
  <c r="Z54" i="1"/>
  <c r="Z57" i="1"/>
  <c r="Z58" i="1"/>
  <c r="Z61" i="1"/>
  <c r="Z63" i="1"/>
  <c r="Z65" i="1"/>
  <c r="Z66" i="1"/>
  <c r="AC46" i="1"/>
  <c r="AD46" i="1" s="1"/>
  <c r="AB46" i="1"/>
  <c r="R46" i="1"/>
  <c r="S46" i="1" s="1"/>
  <c r="T46" i="1" s="1"/>
  <c r="V46" i="1" s="1"/>
  <c r="AA46" i="1" s="1"/>
  <c r="AC50" i="1"/>
  <c r="AD50" i="1" s="1"/>
  <c r="AB50" i="1"/>
  <c r="R50" i="1"/>
  <c r="S50" i="1" s="1"/>
  <c r="X50" i="1" s="1"/>
  <c r="Y50" i="1" s="1"/>
  <c r="R54" i="1"/>
  <c r="S54" i="1" s="1"/>
  <c r="T54" i="1" s="1"/>
  <c r="V54" i="1" s="1"/>
  <c r="AA54" i="1" s="1"/>
  <c r="AC54" i="1"/>
  <c r="AD54" i="1" s="1"/>
  <c r="AB54" i="1"/>
  <c r="R58" i="1"/>
  <c r="S58" i="1" s="1"/>
  <c r="T58" i="1" s="1"/>
  <c r="V58" i="1" s="1"/>
  <c r="AA58" i="1" s="1"/>
  <c r="AB58" i="1"/>
  <c r="AC58" i="1"/>
  <c r="AD58" i="1" s="1"/>
  <c r="AC62" i="1"/>
  <c r="AD62" i="1" s="1"/>
  <c r="R62" i="1"/>
  <c r="S62" i="1" s="1"/>
  <c r="T62" i="1" s="1"/>
  <c r="V62" i="1" s="1"/>
  <c r="AA62" i="1" s="1"/>
  <c r="AB62" i="1"/>
  <c r="AC59" i="1"/>
  <c r="AD59" i="1" s="1"/>
  <c r="R59" i="1"/>
  <c r="S59" i="1" s="1"/>
  <c r="AB59" i="1"/>
  <c r="AC51" i="1"/>
  <c r="AD51" i="1" s="1"/>
  <c r="AB51" i="1"/>
  <c r="R51" i="1"/>
  <c r="AC43" i="1"/>
  <c r="AD43" i="1" s="1"/>
  <c r="R43" i="1"/>
  <c r="S43" i="1" s="1"/>
  <c r="AB43" i="1"/>
  <c r="AB65" i="1"/>
  <c r="AC65" i="1"/>
  <c r="AD65" i="1" s="1"/>
  <c r="R65" i="1"/>
  <c r="S65" i="1" s="1"/>
  <c r="T65" i="1" s="1"/>
  <c r="V65" i="1" s="1"/>
  <c r="AA65" i="1" s="1"/>
  <c r="AC61" i="1"/>
  <c r="AD61" i="1" s="1"/>
  <c r="R61" i="1"/>
  <c r="S61" i="1" s="1"/>
  <c r="AB61" i="1"/>
  <c r="AC53" i="1"/>
  <c r="AD53" i="1" s="1"/>
  <c r="R53" i="1"/>
  <c r="S53" i="1" s="1"/>
  <c r="T53" i="1" s="1"/>
  <c r="V53" i="1" s="1"/>
  <c r="AA53" i="1" s="1"/>
  <c r="AB53" i="1"/>
  <c r="AC45" i="1"/>
  <c r="AD45" i="1" s="1"/>
  <c r="R45" i="1"/>
  <c r="S45" i="1" s="1"/>
  <c r="T45" i="1" s="1"/>
  <c r="V45" i="1" s="1"/>
  <c r="AA45" i="1" s="1"/>
  <c r="AB45" i="1"/>
  <c r="AC41" i="1"/>
  <c r="AD41" i="1" s="1"/>
  <c r="AB41" i="1"/>
  <c r="R41" i="1"/>
  <c r="S41" i="1" s="1"/>
  <c r="AC36" i="1"/>
  <c r="AD36" i="1" s="1"/>
  <c r="R36" i="1"/>
  <c r="S36" i="1" s="1"/>
  <c r="AB36" i="1"/>
  <c r="AC39" i="1"/>
  <c r="AD39" i="1" s="1"/>
  <c r="AB39" i="1"/>
  <c r="R39" i="1"/>
  <c r="S39" i="1" s="1"/>
  <c r="T39" i="1" s="1"/>
  <c r="V39" i="1" s="1"/>
  <c r="AA39" i="1" s="1"/>
  <c r="AC37" i="1"/>
  <c r="AD37" i="1" s="1"/>
  <c r="R37" i="1"/>
  <c r="S37" i="1" s="1"/>
  <c r="AB37" i="1"/>
  <c r="AC42" i="1"/>
  <c r="AD42" i="1" s="1"/>
  <c r="R42" i="1"/>
  <c r="S42" i="1" s="1"/>
  <c r="AB42" i="1"/>
  <c r="R40" i="1"/>
  <c r="S40" i="1" s="1"/>
  <c r="AB40" i="1"/>
  <c r="AC40" i="1"/>
  <c r="AD40" i="1" s="1"/>
  <c r="Z40" i="1"/>
  <c r="Z39" i="1"/>
  <c r="Z36" i="1"/>
  <c r="Z42" i="1"/>
  <c r="Z41" i="1"/>
  <c r="Z38" i="1"/>
  <c r="Z37" i="1"/>
  <c r="AB38" i="1"/>
  <c r="AC38" i="1"/>
  <c r="AD38" i="1" s="1"/>
  <c r="R38" i="1"/>
  <c r="S38" i="1" s="1"/>
  <c r="AB19" i="1"/>
  <c r="AC19" i="1"/>
  <c r="AD19" i="1" s="1"/>
  <c r="R19" i="1"/>
  <c r="S19" i="1" s="1"/>
  <c r="T19" i="1" s="1"/>
  <c r="V19" i="1" s="1"/>
  <c r="AA19" i="1" s="1"/>
  <c r="AC26" i="1"/>
  <c r="AD26" i="1" s="1"/>
  <c r="R26" i="1"/>
  <c r="S26" i="1" s="1"/>
  <c r="AB26" i="1"/>
  <c r="R18" i="1"/>
  <c r="S18" i="1" s="1"/>
  <c r="T18" i="1" s="1"/>
  <c r="V18" i="1" s="1"/>
  <c r="AA18" i="1" s="1"/>
  <c r="AC18" i="1"/>
  <c r="AD18" i="1" s="1"/>
  <c r="AB18" i="1"/>
  <c r="AC27" i="1"/>
  <c r="AD27" i="1" s="1"/>
  <c r="R27" i="1"/>
  <c r="S27" i="1" s="1"/>
  <c r="AB27" i="1"/>
  <c r="R16" i="1"/>
  <c r="S16" i="1" s="1"/>
  <c r="T16" i="1" s="1"/>
  <c r="V16" i="1" s="1"/>
  <c r="AA16" i="1" s="1"/>
  <c r="AC16" i="1"/>
  <c r="AD16" i="1" s="1"/>
  <c r="AB16" i="1"/>
  <c r="X16" i="1"/>
  <c r="Y16" i="1" s="1"/>
  <c r="R35" i="1"/>
  <c r="S35" i="1" s="1"/>
  <c r="AB35" i="1"/>
  <c r="AC35" i="1"/>
  <c r="AD35" i="1" s="1"/>
  <c r="AC68" i="1"/>
  <c r="AD68" i="1" s="1"/>
  <c r="R68" i="1"/>
  <c r="S68" i="1" s="1"/>
  <c r="AB68" i="1"/>
  <c r="AC25" i="1"/>
  <c r="AD25" i="1" s="1"/>
  <c r="AB25" i="1"/>
  <c r="R25" i="1"/>
  <c r="S25" i="1" s="1"/>
  <c r="AC24" i="1"/>
  <c r="AD24" i="1" s="1"/>
  <c r="R24" i="1"/>
  <c r="S24" i="1" s="1"/>
  <c r="AB24" i="1"/>
  <c r="AC23" i="1"/>
  <c r="AD23" i="1" s="1"/>
  <c r="R23" i="1"/>
  <c r="S23" i="1" s="1"/>
  <c r="AB23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5" i="1"/>
  <c r="Z67" i="1"/>
  <c r="Z68" i="1"/>
  <c r="AC67" i="1"/>
  <c r="AD67" i="1" s="1"/>
  <c r="R67" i="1"/>
  <c r="S67" i="1" s="1"/>
  <c r="AB67" i="1"/>
  <c r="AC17" i="1"/>
  <c r="AD17" i="1" s="1"/>
  <c r="AB17" i="1"/>
  <c r="R17" i="1"/>
  <c r="S17" i="1" s="1"/>
  <c r="AC32" i="1"/>
  <c r="AD32" i="1" s="1"/>
  <c r="R32" i="1"/>
  <c r="S32" i="1" s="1"/>
  <c r="AB32" i="1"/>
  <c r="AC31" i="1"/>
  <c r="AD31" i="1" s="1"/>
  <c r="AB31" i="1"/>
  <c r="R31" i="1"/>
  <c r="S31" i="1" s="1"/>
  <c r="R30" i="1"/>
  <c r="S30" i="1" s="1"/>
  <c r="T30" i="1" s="1"/>
  <c r="V30" i="1" s="1"/>
  <c r="AA30" i="1" s="1"/>
  <c r="AB30" i="1"/>
  <c r="AC30" i="1"/>
  <c r="AD30" i="1" s="1"/>
  <c r="AC22" i="1"/>
  <c r="AD22" i="1" s="1"/>
  <c r="R22" i="1"/>
  <c r="S22" i="1" s="1"/>
  <c r="AB22" i="1"/>
  <c r="AC34" i="1"/>
  <c r="AD34" i="1" s="1"/>
  <c r="R34" i="1"/>
  <c r="S34" i="1" s="1"/>
  <c r="AB34" i="1"/>
  <c r="AC33" i="1"/>
  <c r="AD33" i="1" s="1"/>
  <c r="R33" i="1"/>
  <c r="S33" i="1" s="1"/>
  <c r="AB33" i="1"/>
  <c r="R29" i="1"/>
  <c r="S29" i="1" s="1"/>
  <c r="AB29" i="1"/>
  <c r="AC29" i="1"/>
  <c r="AD29" i="1" s="1"/>
  <c r="AC21" i="1"/>
  <c r="AD21" i="1" s="1"/>
  <c r="R21" i="1"/>
  <c r="S21" i="1" s="1"/>
  <c r="AB21" i="1"/>
  <c r="R28" i="1"/>
  <c r="S28" i="1" s="1"/>
  <c r="AB28" i="1"/>
  <c r="AC28" i="1"/>
  <c r="AD28" i="1" s="1"/>
  <c r="AC20" i="1"/>
  <c r="AD20" i="1" s="1"/>
  <c r="R20" i="1"/>
  <c r="S20" i="1" s="1"/>
  <c r="AB20" i="1"/>
  <c r="W75" i="1"/>
  <c r="Q75" i="1"/>
  <c r="X48" i="1" l="1"/>
  <c r="Y48" i="1" s="1"/>
  <c r="X52" i="1"/>
  <c r="Y52" i="1" s="1"/>
  <c r="X54" i="1"/>
  <c r="Y54" i="1" s="1"/>
  <c r="X45" i="1"/>
  <c r="Y45" i="1" s="1"/>
  <c r="X62" i="1"/>
  <c r="Y62" i="1" s="1"/>
  <c r="X56" i="1"/>
  <c r="Y56" i="1" s="1"/>
  <c r="X61" i="1"/>
  <c r="Y61" i="1" s="1"/>
  <c r="X53" i="1"/>
  <c r="Y53" i="1" s="1"/>
  <c r="X46" i="1"/>
  <c r="Y46" i="1" s="1"/>
  <c r="X44" i="1"/>
  <c r="Y44" i="1" s="1"/>
  <c r="T59" i="1"/>
  <c r="V59" i="1" s="1"/>
  <c r="AA59" i="1" s="1"/>
  <c r="T63" i="1"/>
  <c r="V63" i="1" s="1"/>
  <c r="AA63" i="1" s="1"/>
  <c r="X66" i="1"/>
  <c r="Y66" i="1" s="1"/>
  <c r="T66" i="1"/>
  <c r="V66" i="1" s="1"/>
  <c r="AA66" i="1" s="1"/>
  <c r="T43" i="1"/>
  <c r="V43" i="1" s="1"/>
  <c r="AA43" i="1" s="1"/>
  <c r="X43" i="1"/>
  <c r="Y43" i="1" s="1"/>
  <c r="X59" i="1"/>
  <c r="Y59" i="1" s="1"/>
  <c r="X58" i="1"/>
  <c r="Y58" i="1" s="1"/>
  <c r="T50" i="1"/>
  <c r="V50" i="1" s="1"/>
  <c r="AA50" i="1" s="1"/>
  <c r="S49" i="1"/>
  <c r="T49" i="1" s="1"/>
  <c r="V49" i="1" s="1"/>
  <c r="AA49" i="1" s="1"/>
  <c r="X57" i="1"/>
  <c r="Y57" i="1" s="1"/>
  <c r="X47" i="1"/>
  <c r="Y47" i="1" s="1"/>
  <c r="X55" i="1"/>
  <c r="Y55" i="1" s="1"/>
  <c r="X64" i="1"/>
  <c r="Y64" i="1" s="1"/>
  <c r="X60" i="1"/>
  <c r="Y60" i="1" s="1"/>
  <c r="T61" i="1"/>
  <c r="V61" i="1" s="1"/>
  <c r="AA61" i="1" s="1"/>
  <c r="X65" i="1"/>
  <c r="Y65" i="1" s="1"/>
  <c r="S51" i="1"/>
  <c r="T51" i="1" s="1"/>
  <c r="V51" i="1" s="1"/>
  <c r="AA51" i="1" s="1"/>
  <c r="X63" i="1"/>
  <c r="Y63" i="1" s="1"/>
  <c r="T47" i="1"/>
  <c r="V47" i="1" s="1"/>
  <c r="AA47" i="1" s="1"/>
  <c r="T55" i="1"/>
  <c r="V55" i="1" s="1"/>
  <c r="AA55" i="1" s="1"/>
  <c r="T64" i="1"/>
  <c r="V64" i="1" s="1"/>
  <c r="AA64" i="1" s="1"/>
  <c r="X41" i="1"/>
  <c r="Y41" i="1" s="1"/>
  <c r="X39" i="1"/>
  <c r="Y39" i="1" s="1"/>
  <c r="T38" i="1"/>
  <c r="V38" i="1" s="1"/>
  <c r="AA38" i="1" s="1"/>
  <c r="X38" i="1"/>
  <c r="Y38" i="1" s="1"/>
  <c r="X40" i="1"/>
  <c r="Y40" i="1" s="1"/>
  <c r="X42" i="1"/>
  <c r="Y42" i="1" s="1"/>
  <c r="X37" i="1"/>
  <c r="Y37" i="1" s="1"/>
  <c r="X36" i="1"/>
  <c r="Y36" i="1" s="1"/>
  <c r="T40" i="1"/>
  <c r="V40" i="1" s="1"/>
  <c r="AA40" i="1" s="1"/>
  <c r="T42" i="1"/>
  <c r="V42" i="1" s="1"/>
  <c r="AA42" i="1" s="1"/>
  <c r="T37" i="1"/>
  <c r="V37" i="1" s="1"/>
  <c r="AA37" i="1" s="1"/>
  <c r="T36" i="1"/>
  <c r="V36" i="1" s="1"/>
  <c r="AA36" i="1" s="1"/>
  <c r="T41" i="1"/>
  <c r="V41" i="1" s="1"/>
  <c r="AA41" i="1" s="1"/>
  <c r="T17" i="1"/>
  <c r="V17" i="1" s="1"/>
  <c r="AA17" i="1" s="1"/>
  <c r="X17" i="1"/>
  <c r="Y17" i="1" s="1"/>
  <c r="X18" i="1"/>
  <c r="Y18" i="1" s="1"/>
  <c r="X19" i="1"/>
  <c r="Y19" i="1" s="1"/>
  <c r="X30" i="1"/>
  <c r="Y30" i="1" s="1"/>
  <c r="X28" i="1"/>
  <c r="Y28" i="1" s="1"/>
  <c r="T28" i="1"/>
  <c r="V28" i="1" s="1"/>
  <c r="AA28" i="1" s="1"/>
  <c r="X26" i="1"/>
  <c r="Y26" i="1" s="1"/>
  <c r="T26" i="1"/>
  <c r="V26" i="1" s="1"/>
  <c r="AA26" i="1" s="1"/>
  <c r="X33" i="1"/>
  <c r="Y33" i="1" s="1"/>
  <c r="T33" i="1"/>
  <c r="V33" i="1" s="1"/>
  <c r="AA33" i="1" s="1"/>
  <c r="X68" i="1"/>
  <c r="Y68" i="1" s="1"/>
  <c r="T68" i="1"/>
  <c r="V68" i="1" s="1"/>
  <c r="AA68" i="1" s="1"/>
  <c r="R75" i="1"/>
  <c r="U75" i="1" s="1"/>
  <c r="V75" i="1" s="1"/>
  <c r="X75" i="1" s="1"/>
  <c r="P76" i="1" s="1"/>
  <c r="Z76" i="1" s="1"/>
  <c r="Y75" i="1"/>
  <c r="X27" i="1"/>
  <c r="Y27" i="1" s="1"/>
  <c r="T27" i="1"/>
  <c r="V27" i="1" s="1"/>
  <c r="AA27" i="1" s="1"/>
  <c r="X34" i="1"/>
  <c r="Y34" i="1" s="1"/>
  <c r="T34" i="1"/>
  <c r="V34" i="1" s="1"/>
  <c r="AA34" i="1" s="1"/>
  <c r="X23" i="1"/>
  <c r="Y23" i="1" s="1"/>
  <c r="T23" i="1"/>
  <c r="V23" i="1" s="1"/>
  <c r="AA23" i="1" s="1"/>
  <c r="X25" i="1"/>
  <c r="Y25" i="1" s="1"/>
  <c r="T25" i="1"/>
  <c r="V25" i="1" s="1"/>
  <c r="AA25" i="1" s="1"/>
  <c r="X35" i="1"/>
  <c r="Y35" i="1" s="1"/>
  <c r="T35" i="1"/>
  <c r="V35" i="1" s="1"/>
  <c r="AA35" i="1" s="1"/>
  <c r="X29" i="1"/>
  <c r="Y29" i="1" s="1"/>
  <c r="T29" i="1"/>
  <c r="V29" i="1" s="1"/>
  <c r="AA29" i="1" s="1"/>
  <c r="X20" i="1"/>
  <c r="Y20" i="1" s="1"/>
  <c r="T20" i="1"/>
  <c r="V20" i="1" s="1"/>
  <c r="AA20" i="1" s="1"/>
  <c r="X22" i="1"/>
  <c r="Y22" i="1" s="1"/>
  <c r="T22" i="1"/>
  <c r="V22" i="1" s="1"/>
  <c r="AA22" i="1" s="1"/>
  <c r="X32" i="1"/>
  <c r="Y32" i="1" s="1"/>
  <c r="T32" i="1"/>
  <c r="V32" i="1" s="1"/>
  <c r="AA32" i="1" s="1"/>
  <c r="X67" i="1"/>
  <c r="Y67" i="1" s="1"/>
  <c r="T67" i="1"/>
  <c r="V67" i="1" s="1"/>
  <c r="AA67" i="1" s="1"/>
  <c r="X21" i="1"/>
  <c r="Y21" i="1" s="1"/>
  <c r="T21" i="1"/>
  <c r="V21" i="1" s="1"/>
  <c r="AA21" i="1" s="1"/>
  <c r="X31" i="1"/>
  <c r="Y31" i="1" s="1"/>
  <c r="T31" i="1"/>
  <c r="V31" i="1" s="1"/>
  <c r="AA31" i="1" s="1"/>
  <c r="X24" i="1"/>
  <c r="Y24" i="1" s="1"/>
  <c r="T24" i="1"/>
  <c r="V24" i="1" s="1"/>
  <c r="AA24" i="1" s="1"/>
  <c r="X51" i="1" l="1"/>
  <c r="Y51" i="1" s="1"/>
  <c r="X49" i="1"/>
  <c r="Y49" i="1" s="1"/>
  <c r="AA76" i="1"/>
  <c r="W76" i="1" l="1"/>
  <c r="Q76" i="1"/>
  <c r="Y76" i="1" l="1"/>
  <c r="R76" i="1"/>
  <c r="U76" i="1" s="1"/>
  <c r="V76" i="1" s="1"/>
  <c r="X76" i="1" s="1"/>
  <c r="P77" i="1" s="1"/>
  <c r="Z77" i="1" s="1"/>
  <c r="AA77" i="1" l="1"/>
  <c r="W77" i="1" l="1"/>
  <c r="Q77" i="1"/>
  <c r="Y77" i="1" l="1"/>
  <c r="R77" i="1"/>
  <c r="U77" i="1" s="1"/>
  <c r="V77" i="1" s="1"/>
  <c r="X77" i="1" s="1"/>
  <c r="P78" i="1" s="1"/>
  <c r="Z78" i="1" s="1"/>
  <c r="AA78" i="1" l="1"/>
  <c r="W78" i="1" l="1"/>
  <c r="Q78" i="1"/>
  <c r="Y78" i="1" l="1"/>
  <c r="R78" i="1"/>
  <c r="U78" i="1" l="1"/>
  <c r="V78" i="1" s="1"/>
  <c r="X78" i="1" s="1"/>
  <c r="P79" i="1" s="1"/>
  <c r="Z79" i="1" s="1"/>
  <c r="AA79" i="1" l="1"/>
  <c r="W79" i="1" l="1"/>
  <c r="Q79" i="1"/>
  <c r="Y79" i="1" l="1"/>
  <c r="R79" i="1"/>
  <c r="U79" i="1" s="1"/>
  <c r="V79" i="1" s="1"/>
  <c r="X79" i="1" s="1"/>
  <c r="P80" i="1" s="1"/>
  <c r="Z80" i="1" s="1"/>
  <c r="AA80" i="1" l="1"/>
  <c r="W80" i="1" l="1"/>
  <c r="Q80" i="1"/>
  <c r="R80" i="1" l="1"/>
  <c r="U80" i="1" s="1"/>
  <c r="V80" i="1" s="1"/>
  <c r="X80" i="1" s="1"/>
  <c r="P81" i="1" s="1"/>
  <c r="Z81" i="1" s="1"/>
  <c r="Y80" i="1"/>
  <c r="AA81" i="1" l="1"/>
  <c r="W81" i="1" l="1"/>
  <c r="Q81" i="1"/>
  <c r="R81" i="1" l="1"/>
  <c r="U81" i="1" s="1"/>
  <c r="V81" i="1" s="1"/>
  <c r="X81" i="1" s="1"/>
  <c r="P82" i="1" s="1"/>
  <c r="Z82" i="1" s="1"/>
  <c r="Y81" i="1"/>
  <c r="AA82" i="1" l="1"/>
  <c r="W82" i="1" l="1"/>
  <c r="Q82" i="1"/>
  <c r="Y82" i="1" l="1"/>
  <c r="R82" i="1"/>
  <c r="U82" i="1" s="1"/>
  <c r="V82" i="1" s="1"/>
  <c r="X82" i="1" s="1"/>
  <c r="P83" i="1" s="1"/>
  <c r="Z83" i="1" s="1"/>
  <c r="AA83" i="1" l="1"/>
  <c r="W83" i="1" l="1"/>
  <c r="Q83" i="1"/>
  <c r="Y83" i="1" l="1"/>
  <c r="R83" i="1"/>
  <c r="U83" i="1" s="1"/>
  <c r="V83" i="1" s="1"/>
  <c r="X83" i="1" s="1"/>
  <c r="P84" i="1" s="1"/>
  <c r="Z84" i="1" s="1"/>
  <c r="AA84" i="1" l="1"/>
  <c r="W84" i="1" l="1"/>
  <c r="Q84" i="1"/>
  <c r="R84" i="1" l="1"/>
  <c r="U84" i="1" s="1"/>
  <c r="V84" i="1" s="1"/>
  <c r="X84" i="1" s="1"/>
  <c r="P85" i="1" s="1"/>
  <c r="Z85" i="1" s="1"/>
  <c r="Y84" i="1"/>
  <c r="AA85" i="1" l="1"/>
  <c r="W85" i="1" l="1"/>
  <c r="Q85" i="1"/>
  <c r="R85" i="1" l="1"/>
  <c r="U85" i="1" s="1"/>
  <c r="V85" i="1" s="1"/>
  <c r="X85" i="1" s="1"/>
  <c r="P86" i="1" s="1"/>
  <c r="Z86" i="1" s="1"/>
  <c r="Y85" i="1"/>
  <c r="AA86" i="1" l="1"/>
  <c r="W86" i="1" l="1"/>
  <c r="Q86" i="1"/>
  <c r="R86" i="1" l="1"/>
  <c r="U86" i="1" s="1"/>
  <c r="V86" i="1" s="1"/>
  <c r="X86" i="1" s="1"/>
  <c r="P87" i="1" s="1"/>
  <c r="Z87" i="1" s="1"/>
  <c r="Y86" i="1"/>
  <c r="AA87" i="1" l="1"/>
  <c r="W87" i="1" l="1"/>
  <c r="Q87" i="1"/>
  <c r="Y87" i="1" l="1"/>
  <c r="R87" i="1"/>
  <c r="U87" i="1" s="1"/>
  <c r="V87" i="1" s="1"/>
  <c r="X87" i="1" s="1"/>
  <c r="P88" i="1" s="1"/>
  <c r="Z88" i="1" s="1"/>
  <c r="AA88" i="1" l="1"/>
  <c r="W88" i="1" l="1"/>
  <c r="Q88" i="1"/>
  <c r="Y88" i="1" l="1"/>
  <c r="R88" i="1"/>
  <c r="U88" i="1" s="1"/>
  <c r="V88" i="1" s="1"/>
  <c r="X88" i="1" s="1"/>
  <c r="P89" i="1" s="1"/>
  <c r="Z89" i="1" s="1"/>
  <c r="AA89" i="1" l="1"/>
  <c r="W89" i="1" l="1"/>
  <c r="Q89" i="1"/>
  <c r="R89" i="1" l="1"/>
  <c r="U89" i="1" s="1"/>
  <c r="V89" i="1" s="1"/>
  <c r="X89" i="1" s="1"/>
  <c r="P90" i="1" s="1"/>
  <c r="Z90" i="1" s="1"/>
  <c r="Y89" i="1"/>
  <c r="AA90" i="1" l="1"/>
  <c r="W90" i="1" l="1"/>
  <c r="Q90" i="1"/>
  <c r="R90" i="1" l="1"/>
  <c r="U90" i="1" s="1"/>
  <c r="V90" i="1" s="1"/>
  <c r="X90" i="1" s="1"/>
  <c r="P91" i="1" s="1"/>
  <c r="Z91" i="1" s="1"/>
  <c r="Y90" i="1"/>
  <c r="AA91" i="1" l="1"/>
  <c r="W91" i="1" l="1"/>
  <c r="Q91" i="1"/>
  <c r="Y91" i="1" l="1"/>
  <c r="R91" i="1"/>
  <c r="U91" i="1" s="1"/>
  <c r="V91" i="1" s="1"/>
  <c r="X91" i="1" s="1"/>
  <c r="P92" i="1" s="1"/>
  <c r="Z92" i="1" s="1"/>
  <c r="AA92" i="1" l="1"/>
  <c r="W92" i="1" l="1"/>
  <c r="Q92" i="1"/>
  <c r="R92" i="1" l="1"/>
  <c r="U92" i="1" s="1"/>
  <c r="V92" i="1" s="1"/>
  <c r="X92" i="1" s="1"/>
  <c r="P93" i="1" s="1"/>
  <c r="Z93" i="1" s="1"/>
  <c r="Y92" i="1"/>
  <c r="AA93" i="1" l="1"/>
  <c r="W93" i="1" l="1"/>
  <c r="Q93" i="1"/>
  <c r="Y93" i="1" l="1"/>
  <c r="R93" i="1"/>
  <c r="U93" i="1" s="1"/>
  <c r="V93" i="1" s="1"/>
  <c r="X93" i="1" s="1"/>
  <c r="P94" i="1" s="1"/>
  <c r="Z94" i="1" s="1"/>
  <c r="AA94" i="1" l="1"/>
  <c r="W94" i="1" l="1"/>
  <c r="Q94" i="1"/>
  <c r="Y94" i="1" l="1"/>
  <c r="R94" i="1"/>
  <c r="U94" i="1" s="1"/>
  <c r="V94" i="1" s="1"/>
  <c r="X94" i="1" s="1"/>
  <c r="P95" i="1" s="1"/>
  <c r="Z95" i="1" s="1"/>
  <c r="AA95" i="1" l="1"/>
  <c r="W95" i="1" l="1"/>
  <c r="Q95" i="1"/>
  <c r="R95" i="1" l="1"/>
  <c r="U95" i="1" s="1"/>
  <c r="V95" i="1" s="1"/>
  <c r="X95" i="1" s="1"/>
  <c r="P96" i="1" s="1"/>
  <c r="Z96" i="1" s="1"/>
  <c r="Y95" i="1"/>
  <c r="AA96" i="1" l="1"/>
  <c r="W96" i="1" l="1"/>
  <c r="Q96" i="1"/>
  <c r="R96" i="1" l="1"/>
  <c r="U96" i="1" s="1"/>
  <c r="V96" i="1" s="1"/>
  <c r="X96" i="1" s="1"/>
  <c r="P97" i="1" s="1"/>
  <c r="Z97" i="1" s="1"/>
  <c r="Y96" i="1"/>
  <c r="AA97" i="1" l="1"/>
  <c r="W97" i="1" l="1"/>
  <c r="Q97" i="1"/>
  <c r="Y97" i="1" l="1"/>
  <c r="R97" i="1"/>
  <c r="U97" i="1" s="1"/>
  <c r="V97" i="1" s="1"/>
  <c r="X97" i="1" s="1"/>
  <c r="P98" i="1" s="1"/>
  <c r="Z98" i="1" s="1"/>
  <c r="AA98" i="1" l="1"/>
  <c r="W98" i="1" l="1"/>
  <c r="Q98" i="1"/>
  <c r="R98" i="1" l="1"/>
  <c r="U98" i="1" s="1"/>
  <c r="V98" i="1" s="1"/>
  <c r="X98" i="1" s="1"/>
  <c r="P99" i="1" s="1"/>
  <c r="Y98" i="1"/>
  <c r="Z99" i="1" l="1"/>
  <c r="AA99" i="1"/>
  <c r="W99" i="1" l="1"/>
  <c r="Q99" i="1"/>
  <c r="R99" i="1" l="1"/>
  <c r="U99" i="1" s="1"/>
  <c r="V99" i="1" s="1"/>
  <c r="X99" i="1" s="1"/>
  <c r="P100" i="1" s="1"/>
  <c r="Y99" i="1"/>
  <c r="Z100" i="1" l="1"/>
  <c r="AA100" i="1"/>
  <c r="W100" i="1" l="1"/>
  <c r="Q100" i="1"/>
  <c r="R100" i="1" l="1"/>
  <c r="Y100" i="1"/>
  <c r="U100" i="1" l="1"/>
  <c r="V100" i="1" s="1"/>
  <c r="X100" i="1" s="1"/>
  <c r="P101" i="1" s="1"/>
  <c r="Z101" i="1" l="1"/>
  <c r="AA101" i="1"/>
  <c r="W101" i="1" l="1"/>
  <c r="Q101" i="1"/>
  <c r="Y101" i="1" l="1"/>
  <c r="R101" i="1"/>
  <c r="U101" i="1" l="1"/>
  <c r="V101" i="1" s="1"/>
  <c r="X101" i="1" s="1"/>
  <c r="P102" i="1" s="1"/>
  <c r="Z102" i="1" l="1"/>
  <c r="AA102" i="1"/>
  <c r="W102" i="1" l="1"/>
  <c r="Q102" i="1"/>
  <c r="Y102" i="1" l="1"/>
  <c r="R102" i="1"/>
  <c r="U102" i="1" l="1"/>
  <c r="V102" i="1" s="1"/>
  <c r="X102" i="1" s="1"/>
  <c r="P103" i="1" s="1"/>
  <c r="Z103" i="1" l="1"/>
  <c r="AA103" i="1"/>
  <c r="W103" i="1" l="1"/>
  <c r="Q103" i="1"/>
  <c r="Y103" i="1" l="1"/>
  <c r="R103" i="1"/>
  <c r="U103" i="1" l="1"/>
  <c r="V103" i="1" s="1"/>
  <c r="X103" i="1" s="1"/>
  <c r="P104" i="1" s="1"/>
  <c r="Z104" i="1" l="1"/>
  <c r="AA104" i="1"/>
  <c r="W104" i="1" l="1"/>
  <c r="Q104" i="1"/>
  <c r="Y104" i="1" l="1"/>
  <c r="R104" i="1"/>
  <c r="U104" i="1" l="1"/>
  <c r="V104" i="1" s="1"/>
  <c r="X104" i="1" s="1"/>
  <c r="P105" i="1" s="1"/>
  <c r="Z105" i="1" l="1"/>
  <c r="AA105" i="1"/>
  <c r="W105" i="1" l="1"/>
  <c r="Q105" i="1"/>
  <c r="R105" i="1" l="1"/>
  <c r="U105" i="1" s="1"/>
  <c r="V105" i="1" s="1"/>
  <c r="X105" i="1" s="1"/>
  <c r="P106" i="1" s="1"/>
  <c r="Y105" i="1"/>
  <c r="Z106" i="1" l="1"/>
  <c r="AA106" i="1"/>
  <c r="Q106" i="1" l="1"/>
  <c r="W106" i="1"/>
  <c r="Y106" i="1" l="1"/>
  <c r="R106" i="1"/>
  <c r="U106" i="1" s="1"/>
  <c r="V106" i="1" s="1"/>
  <c r="X106" i="1" s="1"/>
  <c r="P107" i="1" s="1"/>
  <c r="Z107" i="1" l="1"/>
  <c r="AA107" i="1"/>
  <c r="Q107" i="1" l="1"/>
  <c r="W107" i="1"/>
  <c r="R107" i="1" l="1"/>
  <c r="Y107" i="1"/>
  <c r="U107" i="1" l="1"/>
  <c r="V107" i="1" s="1"/>
  <c r="X107" i="1" s="1"/>
  <c r="P108" i="1" s="1"/>
  <c r="Z108" i="1" l="1"/>
  <c r="AA108" i="1"/>
  <c r="W108" i="1" l="1"/>
  <c r="Q108" i="1"/>
  <c r="Y108" i="1" l="1"/>
  <c r="R108" i="1"/>
  <c r="U108" i="1" l="1"/>
  <c r="V108" i="1" s="1"/>
  <c r="X108" i="1" s="1"/>
  <c r="P109" i="1" s="1"/>
  <c r="Z109" i="1" l="1"/>
  <c r="AA109" i="1"/>
  <c r="W109" i="1" l="1"/>
  <c r="Q109" i="1"/>
  <c r="R109" i="1" l="1"/>
  <c r="Y109" i="1"/>
  <c r="U109" i="1" l="1"/>
  <c r="V109" i="1" s="1"/>
  <c r="X109" i="1" s="1"/>
  <c r="P110" i="1" s="1"/>
  <c r="Z110" i="1" l="1"/>
  <c r="AA110" i="1"/>
  <c r="Q110" i="1" l="1"/>
  <c r="W110" i="1"/>
  <c r="Y110" i="1" l="1"/>
  <c r="R110" i="1"/>
  <c r="U110" i="1" l="1"/>
  <c r="V110" i="1" s="1"/>
  <c r="X110" i="1" s="1"/>
  <c r="P111" i="1" s="1"/>
  <c r="Z111" i="1" l="1"/>
  <c r="AA111" i="1"/>
  <c r="W111" i="1" l="1"/>
  <c r="Q111" i="1"/>
  <c r="R111" i="1" l="1"/>
  <c r="U111" i="1" s="1"/>
  <c r="V111" i="1" s="1"/>
  <c r="X111" i="1" s="1"/>
  <c r="P112" i="1" s="1"/>
  <c r="Y111" i="1"/>
  <c r="Z112" i="1" l="1"/>
  <c r="AA112" i="1"/>
  <c r="W112" i="1" l="1"/>
  <c r="Q112" i="1"/>
  <c r="R112" i="1" l="1"/>
  <c r="U112" i="1" s="1"/>
  <c r="V112" i="1" s="1"/>
  <c r="X112" i="1" s="1"/>
  <c r="P113" i="1" s="1"/>
  <c r="Y112" i="1"/>
  <c r="Z113" i="1" l="1"/>
  <c r="AA113" i="1"/>
  <c r="W113" i="1" l="1"/>
  <c r="Q113" i="1"/>
  <c r="R113" i="1" l="1"/>
  <c r="U113" i="1" s="1"/>
  <c r="V113" i="1" s="1"/>
  <c r="X113" i="1" s="1"/>
  <c r="P114" i="1" s="1"/>
  <c r="Y113" i="1"/>
  <c r="Z114" i="1" l="1"/>
  <c r="AA114" i="1"/>
  <c r="Q114" i="1" l="1"/>
  <c r="W114" i="1"/>
  <c r="Y114" i="1" l="1"/>
  <c r="R114" i="1"/>
  <c r="U114" i="1" l="1"/>
  <c r="V114" i="1" s="1"/>
  <c r="X114" i="1" s="1"/>
  <c r="P115" i="1" s="1"/>
  <c r="Z115" i="1" l="1"/>
  <c r="AA115" i="1"/>
  <c r="Q115" i="1" l="1"/>
  <c r="W115" i="1"/>
  <c r="Y115" i="1" l="1"/>
  <c r="R115" i="1"/>
  <c r="U115" i="1" s="1"/>
  <c r="V115" i="1" s="1"/>
  <c r="X115" i="1" s="1"/>
  <c r="P116" i="1" s="1"/>
  <c r="Z116" i="1" l="1"/>
  <c r="AA116" i="1"/>
  <c r="Q116" i="1" l="1"/>
  <c r="W116" i="1"/>
  <c r="Y116" i="1" l="1"/>
  <c r="R116" i="1"/>
  <c r="U116" i="1" l="1"/>
  <c r="V116" i="1" s="1"/>
  <c r="X116" i="1" s="1"/>
  <c r="P117" i="1" s="1"/>
  <c r="Z117" i="1" l="1"/>
  <c r="AA117" i="1"/>
  <c r="Q117" i="1" l="1"/>
  <c r="W117" i="1"/>
  <c r="Y117" i="1" l="1"/>
  <c r="R117" i="1"/>
  <c r="U117" i="1" s="1"/>
  <c r="V117" i="1" s="1"/>
  <c r="X117" i="1" s="1"/>
  <c r="P118" i="1" s="1"/>
  <c r="Z118" i="1" l="1"/>
  <c r="AA118" i="1"/>
  <c r="Q118" i="1" l="1"/>
  <c r="W118" i="1"/>
  <c r="R118" i="1" l="1"/>
  <c r="Y118" i="1"/>
  <c r="U118" i="1" l="1"/>
  <c r="V118" i="1" s="1"/>
  <c r="X118" i="1" s="1"/>
  <c r="P119" i="1" s="1"/>
  <c r="Z119" i="1" l="1"/>
  <c r="AA119" i="1"/>
  <c r="Q119" i="1" l="1"/>
  <c r="W119" i="1"/>
  <c r="Y119" i="1" l="1"/>
  <c r="R119" i="1"/>
  <c r="U119" i="1" s="1"/>
  <c r="V119" i="1" s="1"/>
  <c r="X119" i="1" s="1"/>
  <c r="P120" i="1" s="1"/>
  <c r="Z120" i="1" l="1"/>
  <c r="AA120" i="1"/>
  <c r="Q120" i="1" l="1"/>
  <c r="W120" i="1"/>
  <c r="R120" i="1" l="1"/>
  <c r="Y120" i="1"/>
  <c r="U120" i="1" l="1"/>
  <c r="V120" i="1" s="1"/>
  <c r="X120" i="1" s="1"/>
  <c r="P121" i="1" s="1"/>
  <c r="Z121" i="1" l="1"/>
  <c r="AA121" i="1"/>
  <c r="W121" i="1" l="1"/>
  <c r="Q121" i="1"/>
  <c r="R121" i="1" l="1"/>
  <c r="Y121" i="1"/>
  <c r="U121" i="1" l="1"/>
  <c r="V121" i="1" s="1"/>
  <c r="X121" i="1" s="1"/>
  <c r="P122" i="1" s="1"/>
  <c r="Z122" i="1" l="1"/>
  <c r="AA122" i="1"/>
  <c r="Q122" i="1" l="1"/>
  <c r="W122" i="1"/>
  <c r="Y122" i="1" l="1"/>
  <c r="R122" i="1"/>
  <c r="U122" i="1" s="1"/>
  <c r="V122" i="1" s="1"/>
  <c r="X122" i="1" s="1"/>
  <c r="P123" i="1" s="1"/>
  <c r="Z123" i="1" l="1"/>
  <c r="AA123" i="1"/>
  <c r="Q123" i="1" l="1"/>
  <c r="W123" i="1"/>
  <c r="R123" i="1" l="1"/>
  <c r="U123" i="1" s="1"/>
  <c r="V123" i="1" s="1"/>
  <c r="X123" i="1" s="1"/>
  <c r="P124" i="1" s="1"/>
  <c r="Y123" i="1"/>
  <c r="Z124" i="1" l="1"/>
  <c r="AA124" i="1"/>
  <c r="Q124" i="1" l="1"/>
  <c r="W124" i="1"/>
  <c r="Y124" i="1" l="1"/>
  <c r="R124" i="1"/>
  <c r="U124" i="1" s="1"/>
  <c r="V124" i="1" s="1"/>
  <c r="X124" i="1" s="1"/>
  <c r="P125" i="1" s="1"/>
  <c r="Z125" i="1" l="1"/>
  <c r="AA125" i="1"/>
  <c r="Q125" i="1" l="1"/>
  <c r="W125" i="1"/>
  <c r="R125" i="1" l="1"/>
  <c r="Y125" i="1"/>
  <c r="U125" i="1" l="1"/>
  <c r="V125" i="1" s="1"/>
  <c r="X125" i="1" s="1"/>
  <c r="P126" i="1" s="1"/>
  <c r="Z126" i="1" l="1"/>
  <c r="AA126" i="1"/>
  <c r="Q126" i="1" l="1"/>
  <c r="W126" i="1"/>
  <c r="Y126" i="1" l="1"/>
  <c r="R126" i="1"/>
  <c r="U126" i="1" s="1"/>
  <c r="V126" i="1" s="1"/>
  <c r="X126" i="1" s="1"/>
  <c r="P127" i="1" s="1"/>
  <c r="Z127" i="1" l="1"/>
  <c r="AA127" i="1"/>
  <c r="Q127" i="1" l="1"/>
  <c r="W127" i="1"/>
  <c r="R127" i="1" l="1"/>
  <c r="Y127" i="1"/>
  <c r="U127" i="1" l="1"/>
  <c r="V127" i="1" s="1"/>
  <c r="X127" i="1" s="1"/>
  <c r="P128" i="1" s="1"/>
  <c r="Z128" i="1" l="1"/>
  <c r="AA128" i="1"/>
  <c r="Q128" i="1" l="1"/>
  <c r="W128" i="1"/>
  <c r="Y128" i="1" l="1"/>
  <c r="R128" i="1"/>
  <c r="U128" i="1" s="1"/>
  <c r="V128" i="1" s="1"/>
  <c r="X128" i="1" s="1"/>
  <c r="P129" i="1" s="1"/>
  <c r="Z129" i="1" l="1"/>
  <c r="AA129" i="1"/>
  <c r="Q129" i="1" l="1"/>
  <c r="W129" i="1"/>
  <c r="Y129" i="1" l="1"/>
  <c r="R129" i="1"/>
  <c r="U129" i="1" s="1"/>
  <c r="V129" i="1" s="1"/>
  <c r="X129" i="1" s="1"/>
  <c r="P130" i="1" s="1"/>
  <c r="Z130" i="1" l="1"/>
  <c r="AA130" i="1"/>
  <c r="Q130" i="1" l="1"/>
  <c r="W130" i="1"/>
  <c r="R130" i="1" l="1"/>
  <c r="U130" i="1" s="1"/>
  <c r="V130" i="1" s="1"/>
  <c r="X130" i="1" s="1"/>
  <c r="P131" i="1" s="1"/>
  <c r="Y130" i="1"/>
  <c r="Z131" i="1" l="1"/>
  <c r="AA131" i="1"/>
  <c r="Q131" i="1" l="1"/>
  <c r="W131" i="1"/>
  <c r="R131" i="1" l="1"/>
  <c r="U131" i="1" s="1"/>
  <c r="V131" i="1" s="1"/>
  <c r="X131" i="1" s="1"/>
  <c r="P132" i="1" s="1"/>
  <c r="Y131" i="1"/>
  <c r="Z132" i="1" l="1"/>
  <c r="AA132" i="1"/>
  <c r="Q132" i="1" l="1"/>
  <c r="W132" i="1"/>
  <c r="R132" i="1" l="1"/>
  <c r="U132" i="1" s="1"/>
  <c r="V132" i="1" s="1"/>
  <c r="X132" i="1" s="1"/>
  <c r="P133" i="1" s="1"/>
  <c r="Y132" i="1"/>
  <c r="Z133" i="1" l="1"/>
  <c r="AA133" i="1"/>
  <c r="Q133" i="1" l="1"/>
  <c r="W133" i="1"/>
  <c r="R133" i="1" l="1"/>
  <c r="U133" i="1" s="1"/>
  <c r="V133" i="1" s="1"/>
  <c r="X133" i="1" s="1"/>
  <c r="P134" i="1" s="1"/>
  <c r="Y133" i="1"/>
  <c r="Z134" i="1" l="1"/>
  <c r="AA134" i="1"/>
  <c r="Q134" i="1" l="1"/>
  <c r="W134" i="1"/>
  <c r="R134" i="1" l="1"/>
  <c r="U134" i="1" s="1"/>
  <c r="V134" i="1" s="1"/>
  <c r="X134" i="1" s="1"/>
  <c r="Y134" i="1"/>
  <c r="B39" i="1"/>
  <c r="B40" i="1"/>
  <c r="K2" i="3"/>
  <c r="K4" i="3" l="1"/>
  <c r="K5" i="3"/>
  <c r="B14" i="4" l="1"/>
</calcChain>
</file>

<file path=xl/sharedStrings.xml><?xml version="1.0" encoding="utf-8"?>
<sst xmlns="http://schemas.openxmlformats.org/spreadsheetml/2006/main" count="353" uniqueCount="223">
  <si>
    <t>T</t>
  </si>
  <si>
    <t>KIAS</t>
  </si>
  <si>
    <t>CD0</t>
  </si>
  <si>
    <t>Wt</t>
  </si>
  <si>
    <t>MACH</t>
  </si>
  <si>
    <t>q (psf)</t>
  </si>
  <si>
    <t>CL</t>
  </si>
  <si>
    <t>Sref</t>
  </si>
  <si>
    <t>sq.ft.</t>
  </si>
  <si>
    <t>lbf</t>
  </si>
  <si>
    <t>CD</t>
  </si>
  <si>
    <t>Drag (lbf)</t>
  </si>
  <si>
    <t>AR * e</t>
  </si>
  <si>
    <t>Ps</t>
  </si>
  <si>
    <t>neng</t>
  </si>
  <si>
    <t>CONFIGURATION VARIABLES</t>
  </si>
  <si>
    <t>Clmax</t>
  </si>
  <si>
    <t>Stall Speed Ratio</t>
  </si>
  <si>
    <t>L/D</t>
  </si>
  <si>
    <t>M(L/D)</t>
  </si>
  <si>
    <t>RUNWAY PERFORMANCE</t>
  </si>
  <si>
    <t>Drag</t>
  </si>
  <si>
    <t>Stall Speed</t>
  </si>
  <si>
    <t>Stall Speed "q"</t>
  </si>
  <si>
    <t>psf</t>
  </si>
  <si>
    <t>stall speed mach</t>
  </si>
  <si>
    <t>t (sec)</t>
  </si>
  <si>
    <t>v (ft/s)</t>
  </si>
  <si>
    <t>dist (ft)</t>
  </si>
  <si>
    <t>CL @ a=0</t>
  </si>
  <si>
    <t>Lift</t>
  </si>
  <si>
    <t>Stall Speed Margin (kias)</t>
  </si>
  <si>
    <t>Thrust-estimate (lbf)</t>
  </si>
  <si>
    <t>stall speed KIAS</t>
  </si>
  <si>
    <t>kias</t>
  </si>
  <si>
    <t>ROC (ft/min)</t>
  </si>
  <si>
    <t>ROC @ Clmax (ft/min)</t>
  </si>
  <si>
    <t>Max. Instant G's</t>
  </si>
  <si>
    <t>rolling resistance</t>
  </si>
  <si>
    <t>a</t>
  </si>
  <si>
    <t>b</t>
  </si>
  <si>
    <t>c</t>
  </si>
  <si>
    <t>Battery Weight</t>
  </si>
  <si>
    <t>Air Speed</t>
  </si>
  <si>
    <t>Thrust</t>
  </si>
  <si>
    <t>x^2</t>
  </si>
  <si>
    <t>x</t>
  </si>
  <si>
    <t>Graupner 5.5x4.3</t>
  </si>
  <si>
    <t>230 W Nominal</t>
  </si>
  <si>
    <t>HeadWind</t>
  </si>
  <si>
    <t>kts</t>
  </si>
  <si>
    <t xml:space="preserve">lbm  </t>
  </si>
  <si>
    <t>AIR DEVILS TAKEOFF / LEVEL AND PERFORMANCE CODE</t>
  </si>
  <si>
    <t>Aircraft Weight</t>
  </si>
  <si>
    <t>lbm</t>
  </si>
  <si>
    <t>Mission 1 Weight</t>
  </si>
  <si>
    <t>Misssion 2 Weight</t>
  </si>
  <si>
    <t>Mission 3 Weight</t>
  </si>
  <si>
    <t># Pax</t>
  </si>
  <si>
    <t>oz</t>
  </si>
  <si>
    <t>Wt per pax</t>
  </si>
  <si>
    <t># Blox</t>
  </si>
  <si>
    <t>Wt per blox</t>
  </si>
  <si>
    <t>Mission 2 Top Speed</t>
  </si>
  <si>
    <t>Est Lap Time</t>
  </si>
  <si>
    <t>sec</t>
  </si>
  <si>
    <t>Mission 2 (3 lap time)</t>
  </si>
  <si>
    <t>Mission 3 Top Speed</t>
  </si>
  <si>
    <t>Mission 3 (10 min laps)</t>
  </si>
  <si>
    <t>laps</t>
  </si>
  <si>
    <t>Wingspan</t>
  </si>
  <si>
    <t>ft</t>
  </si>
  <si>
    <t>AR = span ^ 2 / Sref  ==&gt; span = sqrt( AR * Sref)</t>
  </si>
  <si>
    <t>in</t>
  </si>
  <si>
    <t>benchmark</t>
  </si>
  <si>
    <t>Mission 1 projected score</t>
  </si>
  <si>
    <t>Mission 2 projected score</t>
  </si>
  <si>
    <t>Mission 3 projected score</t>
  </si>
  <si>
    <t>RAC</t>
  </si>
  <si>
    <t>Overall Score</t>
  </si>
  <si>
    <t>Est Report Score</t>
  </si>
  <si>
    <t>pax</t>
  </si>
  <si>
    <t>Stall Speed - Mission 1</t>
  </si>
  <si>
    <t>Top Speed - Mission 1</t>
  </si>
  <si>
    <t>T/O dist - Mission 1</t>
  </si>
  <si>
    <t>Stall Speed - Mission 2</t>
  </si>
  <si>
    <t>Top Speed - Mission 2</t>
  </si>
  <si>
    <t>T/O dist - Mission 2</t>
  </si>
  <si>
    <t>T/O dist - Mission 3</t>
  </si>
  <si>
    <t>Stall Speed - Mission 3</t>
  </si>
  <si>
    <t>Top Speed - Mission 3</t>
  </si>
  <si>
    <t>1-g</t>
  </si>
  <si>
    <t xml:space="preserve"> @ CLmax</t>
  </si>
  <si>
    <t>Empty Weight (minus bat)</t>
  </si>
  <si>
    <t>Spi</t>
  </si>
  <si>
    <t>AR</t>
  </si>
  <si>
    <t>ZERO LIFT DRAG BUILDUP</t>
  </si>
  <si>
    <t>Design Conditions - nominally sea level</t>
  </si>
  <si>
    <t>Des_KIAS</t>
  </si>
  <si>
    <t>Des_Mach</t>
  </si>
  <si>
    <t>Re/ft</t>
  </si>
  <si>
    <t>q</t>
  </si>
  <si>
    <t>lbf/ft^2</t>
  </si>
  <si>
    <t>AIRCRAFT GEOMETRY</t>
  </si>
  <si>
    <t>ft^2</t>
  </si>
  <si>
    <t>Wspan</t>
  </si>
  <si>
    <t xml:space="preserve">ft </t>
  </si>
  <si>
    <t>Chord</t>
  </si>
  <si>
    <t>WING</t>
  </si>
  <si>
    <t>FUSE</t>
  </si>
  <si>
    <t>Swet</t>
  </si>
  <si>
    <t>FF</t>
  </si>
  <si>
    <t>Cf</t>
  </si>
  <si>
    <t>HT</t>
  </si>
  <si>
    <t>VT</t>
  </si>
  <si>
    <t>Re</t>
  </si>
  <si>
    <t>t/c</t>
  </si>
  <si>
    <t>OVERALL ZERO-LIFT DRAG ESTIMATE</t>
  </si>
  <si>
    <t>FUSE BASE</t>
  </si>
  <si>
    <t>LANDING GEAR</t>
  </si>
  <si>
    <t>HORZ TAIL</t>
  </si>
  <si>
    <t>Splanform</t>
  </si>
  <si>
    <t>VERT TAIL</t>
  </si>
  <si>
    <t>FUSELAGE</t>
  </si>
  <si>
    <t>Length</t>
  </si>
  <si>
    <t>Width</t>
  </si>
  <si>
    <t>Height</t>
  </si>
  <si>
    <t>Base Area</t>
  </si>
  <si>
    <t>Tire Di</t>
  </si>
  <si>
    <t>Tire Wi</t>
  </si>
  <si>
    <t>BaseArea</t>
  </si>
  <si>
    <t>d/l</t>
  </si>
  <si>
    <t>28% CRUD</t>
  </si>
  <si>
    <r>
      <rPr>
        <b/>
        <i/>
        <sz val="11"/>
        <color theme="1"/>
        <rFont val="Symbol"/>
        <family val="1"/>
        <charset val="2"/>
      </rPr>
      <t>D</t>
    </r>
    <r>
      <rPr>
        <b/>
        <i/>
        <sz val="11"/>
        <color theme="1"/>
        <rFont val="Calibri"/>
        <family val="2"/>
        <scheme val="minor"/>
      </rPr>
      <t>CD0</t>
    </r>
  </si>
  <si>
    <t>sync</t>
  </si>
  <si>
    <t>penalty function  (=1 if OK, 0.1 if bat cap, t/o dist or maneuver margin is poor)</t>
  </si>
  <si>
    <t>Spec Ex Thrust</t>
  </si>
  <si>
    <t>Spec Ex Thrust @ CLmax</t>
  </si>
  <si>
    <t>Passengers/row</t>
  </si>
  <si>
    <t>Rows of Passengers</t>
  </si>
  <si>
    <t>Total passengers</t>
  </si>
  <si>
    <t>Cargo/row</t>
  </si>
  <si>
    <t>Cargo Rows</t>
  </si>
  <si>
    <t>Weight (oz)</t>
  </si>
  <si>
    <t>Passenger Weight (lb)</t>
  </si>
  <si>
    <t>Passenger Dimensions</t>
  </si>
  <si>
    <t>Cargo Weight (lb)</t>
  </si>
  <si>
    <t>Cargo Dimensions</t>
  </si>
  <si>
    <t>50% Pax Weight (M3)</t>
  </si>
  <si>
    <t>100% Pax Weight (M3)</t>
  </si>
  <si>
    <t>Min Width (in)</t>
  </si>
  <si>
    <t>Min Length (in)</t>
  </si>
  <si>
    <t>Min Height (in)</t>
  </si>
  <si>
    <t>Total Cargo</t>
  </si>
  <si>
    <t>Crud Width (in)</t>
  </si>
  <si>
    <t>Crud Height (in)</t>
  </si>
  <si>
    <t>Total Width (in)</t>
  </si>
  <si>
    <t>Total Length (in)</t>
  </si>
  <si>
    <t>Total height (in)</t>
  </si>
  <si>
    <t>full payload</t>
  </si>
  <si>
    <t>CDA</t>
  </si>
  <si>
    <t>\</t>
  </si>
  <si>
    <t>REDONE FOR SQUARE FUSELAGE</t>
  </si>
  <si>
    <t>Crud Length [Nose] (in)</t>
  </si>
  <si>
    <t>Crud Length [Tail] (in)</t>
  </si>
  <si>
    <t>SWET Calculations for rectangular plane</t>
  </si>
  <si>
    <t>Tail Swet (in^2)</t>
  </si>
  <si>
    <t>Nose Swet</t>
  </si>
  <si>
    <t>Total Fuse Swet</t>
  </si>
  <si>
    <t>Mid Swet</t>
  </si>
  <si>
    <t>Tail End Width (in)</t>
  </si>
  <si>
    <t>Tail End Height (in)</t>
  </si>
  <si>
    <t>LG Width (in)</t>
  </si>
  <si>
    <t>LG Height (in)</t>
  </si>
  <si>
    <t>Servo Width (in)</t>
  </si>
  <si>
    <t>Servo Height (in)</t>
  </si>
  <si>
    <t>Trunion Width (in)</t>
  </si>
  <si>
    <t>Trunion Height (in)</t>
  </si>
  <si>
    <t>Tail Area (in^2)</t>
  </si>
  <si>
    <t>LG Area (in^2)</t>
  </si>
  <si>
    <t>Servo Area (in^2)</t>
  </si>
  <si>
    <t>Trunion Area (in^2)</t>
  </si>
  <si>
    <t>Total Area (in^2)</t>
  </si>
  <si>
    <t>Surface</t>
  </si>
  <si>
    <t>in^2</t>
  </si>
  <si>
    <t>Aft-Facing Area</t>
  </si>
  <si>
    <t>ORIGINAL</t>
  </si>
  <si>
    <t>Turning Stall Speed Margin</t>
  </si>
  <si>
    <t>Aircraft Empty Weight</t>
  </si>
  <si>
    <t>HORIZ TAIL</t>
  </si>
  <si>
    <t>MATERIAL DENSITY</t>
  </si>
  <si>
    <t>Balsa</t>
  </si>
  <si>
    <t>lb/in^3</t>
  </si>
  <si>
    <t>Foam</t>
  </si>
  <si>
    <t>Find out correct density</t>
  </si>
  <si>
    <t>Sairfoil/c</t>
  </si>
  <si>
    <t>Span</t>
  </si>
  <si>
    <t>VOLUME</t>
  </si>
  <si>
    <t>WEIGHT</t>
  </si>
  <si>
    <t>Wing</t>
  </si>
  <si>
    <t>ft^3</t>
  </si>
  <si>
    <t>in^3</t>
  </si>
  <si>
    <t>lb</t>
  </si>
  <si>
    <t>Fuselage</t>
  </si>
  <si>
    <t>Horiz Tail</t>
  </si>
  <si>
    <t>Vert Tail</t>
  </si>
  <si>
    <t>TOTAL EMPTY WEIGHT</t>
  </si>
  <si>
    <t>version 2.1.6 - w/ macros for trade studies, named cells, zero-lift-drag calculator, parametric weight and aircraft dimension calculator</t>
  </si>
  <si>
    <t>ma/hr-per bat pax</t>
  </si>
  <si>
    <t>ma</t>
  </si>
  <si>
    <t>num packs</t>
  </si>
  <si>
    <t>test endurance @ full pwr</t>
  </si>
  <si>
    <t>Predicted Endurance</t>
  </si>
  <si>
    <t>min</t>
  </si>
  <si>
    <t>oz payload</t>
  </si>
  <si>
    <t>&lt;= this looks plausible</t>
  </si>
  <si>
    <t>&lt;= this isnt, the fuselage weight isnt proportional to its volume</t>
  </si>
  <si>
    <t>Motors</t>
  </si>
  <si>
    <t>&lt;= what is the weight of the motors + props</t>
  </si>
  <si>
    <t>Radio / Servos / Wiring</t>
  </si>
  <si>
    <t>&lt;= what is the weight of the radio + servos + wiring?</t>
  </si>
  <si>
    <t>Landing Gear</t>
  </si>
  <si>
    <t>&lt;= what's the weight of the wheels and stuff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</si>
</sst>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"/>
    <numFmt numFmtId="165" formatCode="0.000"/>
    <numFmt numFmtId="166" formatCode="0.0"/>
  </numFmts>
  <fonts count="14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20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i/>
      <sz val="11"/>
      <color theme="1"/>
      <name val="Symbol"/>
      <family val="1"/>
      <charset val="2"/>
    </font>
    <font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28"/>
      <color theme="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A5A5A5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2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n">
        <color rgb="FF7F7F7F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1" fillId="2" borderId="1" applyNumberFormat="0" applyAlignment="0" applyProtection="0"/>
    <xf numFmtId="9" fontId="3" fillId="0" borderId="0" applyFont="0" applyFill="0" applyBorder="0" applyAlignment="0" applyProtection="0"/>
    <xf numFmtId="0" fontId="4" fillId="3" borderId="0" applyNumberFormat="0" applyBorder="0" applyAlignment="0" applyProtection="0"/>
    <xf numFmtId="0" fontId="5" fillId="5" borderId="11" applyNumberFormat="0" applyAlignment="0" applyProtection="0"/>
  </cellStyleXfs>
  <cellXfs count="96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1" fillId="2" borderId="1" xfId="1"/>
    <xf numFmtId="0" fontId="4" fillId="3" borderId="0" xfId="3"/>
    <xf numFmtId="0" fontId="0" fillId="4" borderId="2" xfId="0" applyFill="1" applyBorder="1" applyAlignment="1">
      <alignment wrapText="1"/>
    </xf>
    <xf numFmtId="0" fontId="0" fillId="0" borderId="2" xfId="0" applyBorder="1"/>
    <xf numFmtId="164" fontId="0" fillId="0" borderId="2" xfId="0" applyNumberFormat="1" applyBorder="1"/>
    <xf numFmtId="2" fontId="0" fillId="0" borderId="2" xfId="0" applyNumberFormat="1" applyBorder="1"/>
    <xf numFmtId="165" fontId="0" fillId="0" borderId="2" xfId="0" applyNumberFormat="1" applyBorder="1"/>
    <xf numFmtId="9" fontId="0" fillId="0" borderId="2" xfId="2" applyNumberFormat="1" applyFont="1" applyBorder="1"/>
    <xf numFmtId="166" fontId="0" fillId="0" borderId="2" xfId="0" applyNumberFormat="1" applyBorder="1"/>
    <xf numFmtId="0" fontId="0" fillId="0" borderId="6" xfId="0" applyBorder="1"/>
    <xf numFmtId="166" fontId="0" fillId="0" borderId="7" xfId="0" applyNumberFormat="1" applyBorder="1"/>
    <xf numFmtId="0" fontId="0" fillId="0" borderId="8" xfId="0" applyBorder="1"/>
    <xf numFmtId="164" fontId="0" fillId="0" borderId="9" xfId="0" applyNumberFormat="1" applyBorder="1"/>
    <xf numFmtId="2" fontId="0" fillId="0" borderId="9" xfId="0" applyNumberFormat="1" applyBorder="1"/>
    <xf numFmtId="165" fontId="0" fillId="0" borderId="9" xfId="0" applyNumberFormat="1" applyBorder="1"/>
    <xf numFmtId="9" fontId="0" fillId="0" borderId="9" xfId="2" applyNumberFormat="1" applyFont="1" applyBorder="1"/>
    <xf numFmtId="166" fontId="0" fillId="0" borderId="10" xfId="0" applyNumberFormat="1" applyBorder="1"/>
    <xf numFmtId="166" fontId="0" fillId="0" borderId="9" xfId="0" applyNumberFormat="1" applyBorder="1"/>
    <xf numFmtId="0" fontId="0" fillId="4" borderId="2" xfId="0" applyFill="1" applyBorder="1"/>
    <xf numFmtId="165" fontId="0" fillId="0" borderId="2" xfId="0" applyNumberFormat="1" applyBorder="1" applyAlignment="1">
      <alignment horizontal="center"/>
    </xf>
    <xf numFmtId="0" fontId="0" fillId="4" borderId="3" xfId="0" applyFill="1" applyBorder="1"/>
    <xf numFmtId="0" fontId="0" fillId="4" borderId="4" xfId="0" applyFill="1" applyBorder="1"/>
    <xf numFmtId="0" fontId="0" fillId="4" borderId="5" xfId="0" applyFill="1" applyBorder="1"/>
    <xf numFmtId="0" fontId="0" fillId="4" borderId="6" xfId="0" applyFill="1" applyBorder="1"/>
    <xf numFmtId="0" fontId="0" fillId="4" borderId="7" xfId="0" applyFill="1" applyBorder="1"/>
    <xf numFmtId="0" fontId="0" fillId="0" borderId="9" xfId="0" applyBorder="1"/>
    <xf numFmtId="165" fontId="0" fillId="0" borderId="9" xfId="0" applyNumberFormat="1" applyBorder="1" applyAlignment="1">
      <alignment horizontal="center"/>
    </xf>
    <xf numFmtId="0" fontId="5" fillId="5" borderId="11" xfId="4"/>
    <xf numFmtId="11" fontId="5" fillId="5" borderId="11" xfId="4" applyNumberFormat="1"/>
    <xf numFmtId="0" fontId="6" fillId="0" borderId="0" xfId="0" applyFont="1" applyAlignment="1">
      <alignment horizontal="center"/>
    </xf>
    <xf numFmtId="0" fontId="1" fillId="2" borderId="13" xfId="1" applyBorder="1"/>
    <xf numFmtId="0" fontId="7" fillId="0" borderId="0" xfId="0" applyFont="1" applyAlignment="1">
      <alignment horizontal="left"/>
    </xf>
    <xf numFmtId="0" fontId="4" fillId="3" borderId="0" xfId="3" applyBorder="1"/>
    <xf numFmtId="0" fontId="8" fillId="0" borderId="0" xfId="0" applyFont="1" applyAlignment="1">
      <alignment horizontal="center"/>
    </xf>
    <xf numFmtId="0" fontId="0" fillId="6" borderId="0" xfId="0" applyFill="1" applyAlignment="1">
      <alignment horizontal="center"/>
    </xf>
    <xf numFmtId="0" fontId="8" fillId="6" borderId="0" xfId="0" applyFont="1" applyFill="1" applyAlignment="1">
      <alignment horizontal="center"/>
    </xf>
    <xf numFmtId="0" fontId="0" fillId="7" borderId="0" xfId="0" applyFill="1"/>
    <xf numFmtId="0" fontId="0" fillId="0" borderId="0" xfId="0"/>
    <xf numFmtId="0" fontId="0" fillId="8" borderId="0" xfId="0" applyFill="1"/>
    <xf numFmtId="0" fontId="9" fillId="0" borderId="0" xfId="0" applyFont="1"/>
    <xf numFmtId="0" fontId="0" fillId="9" borderId="0" xfId="0" applyFill="1"/>
    <xf numFmtId="0" fontId="0" fillId="10" borderId="0" xfId="0" applyFill="1"/>
    <xf numFmtId="2" fontId="0" fillId="7" borderId="0" xfId="0" applyNumberFormat="1" applyFill="1" applyAlignment="1">
      <alignment horizontal="center"/>
    </xf>
    <xf numFmtId="1" fontId="0" fillId="7" borderId="0" xfId="0" applyNumberFormat="1" applyFill="1" applyAlignment="1">
      <alignment horizontal="center"/>
    </xf>
    <xf numFmtId="164" fontId="0" fillId="7" borderId="0" xfId="0" applyNumberFormat="1" applyFill="1" applyAlignment="1">
      <alignment horizontal="center"/>
    </xf>
    <xf numFmtId="0" fontId="0" fillId="7" borderId="0" xfId="0" applyFill="1" applyAlignment="1">
      <alignment horizontal="center"/>
    </xf>
    <xf numFmtId="0" fontId="0" fillId="8" borderId="0" xfId="0" applyFill="1" applyAlignment="1">
      <alignment horizontal="center"/>
    </xf>
    <xf numFmtId="164" fontId="0" fillId="8" borderId="0" xfId="0" applyNumberFormat="1" applyFill="1" applyAlignment="1">
      <alignment horizontal="center"/>
    </xf>
    <xf numFmtId="0" fontId="2" fillId="10" borderId="0" xfId="0" applyFont="1" applyFill="1"/>
    <xf numFmtId="0" fontId="0" fillId="10" borderId="0" xfId="0" applyNumberFormat="1" applyFill="1" applyAlignment="1">
      <alignment horizontal="center"/>
    </xf>
    <xf numFmtId="0" fontId="0" fillId="10" borderId="0" xfId="0" applyFill="1" applyAlignment="1">
      <alignment horizontal="center"/>
    </xf>
    <xf numFmtId="164" fontId="1" fillId="11" borderId="1" xfId="1" applyNumberFormat="1" applyFill="1"/>
    <xf numFmtId="2" fontId="1" fillId="11" borderId="1" xfId="1" applyNumberFormat="1" applyFill="1"/>
    <xf numFmtId="0" fontId="1" fillId="9" borderId="1" xfId="1" applyFill="1"/>
    <xf numFmtId="9" fontId="0" fillId="9" borderId="0" xfId="0" applyNumberFormat="1" applyFill="1"/>
    <xf numFmtId="9" fontId="0" fillId="9" borderId="14" xfId="0" applyNumberFormat="1" applyFill="1" applyBorder="1"/>
    <xf numFmtId="0" fontId="0" fillId="12" borderId="15" xfId="0" applyFill="1" applyBorder="1"/>
    <xf numFmtId="0" fontId="0" fillId="12" borderId="16" xfId="0" applyFill="1" applyBorder="1"/>
    <xf numFmtId="0" fontId="0" fillId="9" borderId="16" xfId="0" applyFill="1" applyBorder="1"/>
    <xf numFmtId="0" fontId="0" fillId="6" borderId="17" xfId="0" applyFill="1" applyBorder="1"/>
    <xf numFmtId="0" fontId="0" fillId="12" borderId="17" xfId="0" applyFill="1" applyBorder="1"/>
    <xf numFmtId="0" fontId="0" fillId="6" borderId="18" xfId="0" applyFill="1" applyBorder="1"/>
    <xf numFmtId="0" fontId="0" fillId="6" borderId="14" xfId="0" applyFill="1" applyBorder="1"/>
    <xf numFmtId="0" fontId="0" fillId="9" borderId="14" xfId="0" applyFill="1" applyBorder="1"/>
    <xf numFmtId="0" fontId="0" fillId="12" borderId="19" xfId="0" applyFill="1" applyBorder="1"/>
    <xf numFmtId="0" fontId="0" fillId="9" borderId="0" xfId="0" applyFill="1" applyBorder="1"/>
    <xf numFmtId="0" fontId="0" fillId="9" borderId="20" xfId="0" applyFill="1" applyBorder="1"/>
    <xf numFmtId="0" fontId="0" fillId="6" borderId="0" xfId="0" applyFill="1" applyBorder="1"/>
    <xf numFmtId="0" fontId="0" fillId="6" borderId="20" xfId="0" applyFill="1" applyBorder="1"/>
    <xf numFmtId="0" fontId="0" fillId="12" borderId="18" xfId="0" applyFill="1" applyBorder="1"/>
    <xf numFmtId="0" fontId="0" fillId="6" borderId="21" xfId="0" applyFill="1" applyBorder="1"/>
    <xf numFmtId="0" fontId="0" fillId="9" borderId="21" xfId="0" applyFill="1" applyBorder="1"/>
    <xf numFmtId="0" fontId="0" fillId="0" borderId="0" xfId="0" applyBorder="1"/>
    <xf numFmtId="0" fontId="0" fillId="9" borderId="17" xfId="0" applyFill="1" applyBorder="1"/>
    <xf numFmtId="0" fontId="0" fillId="0" borderId="0" xfId="0" applyFill="1"/>
    <xf numFmtId="0" fontId="0" fillId="0" borderId="0" xfId="0" applyAlignment="1"/>
    <xf numFmtId="0" fontId="11" fillId="0" borderId="0" xfId="0" applyFont="1" applyAlignment="1">
      <alignment horizontal="center"/>
    </xf>
    <xf numFmtId="0" fontId="0" fillId="9" borderId="22" xfId="0" applyFill="1" applyBorder="1"/>
    <xf numFmtId="0" fontId="12" fillId="14" borderId="19" xfId="0" applyFont="1" applyFill="1" applyBorder="1"/>
    <xf numFmtId="0" fontId="12" fillId="14" borderId="0" xfId="0" applyFont="1" applyFill="1" applyBorder="1"/>
    <xf numFmtId="0" fontId="0" fillId="12" borderId="20" xfId="0" applyFill="1" applyBorder="1"/>
    <xf numFmtId="0" fontId="0" fillId="15" borderId="0" xfId="0" applyFill="1" applyAlignment="1">
      <alignment horizontal="center"/>
    </xf>
    <xf numFmtId="0" fontId="8" fillId="15" borderId="0" xfId="0" applyFont="1" applyFill="1" applyAlignment="1">
      <alignment horizontal="center"/>
    </xf>
    <xf numFmtId="0" fontId="13" fillId="0" borderId="0" xfId="0" applyFont="1"/>
    <xf numFmtId="0" fontId="6" fillId="0" borderId="0" xfId="0" applyFont="1"/>
    <xf numFmtId="0" fontId="8" fillId="0" borderId="0" xfId="0" applyFont="1"/>
    <xf numFmtId="0" fontId="2" fillId="0" borderId="12" xfId="0" applyFont="1" applyBorder="1" applyAlignment="1">
      <alignment horizontal="center"/>
    </xf>
    <xf numFmtId="0" fontId="0" fillId="12" borderId="18" xfId="0" applyFill="1" applyBorder="1" applyAlignment="1">
      <alignment horizontal="center"/>
    </xf>
    <xf numFmtId="0" fontId="0" fillId="12" borderId="14" xfId="0" applyFill="1" applyBorder="1" applyAlignment="1">
      <alignment horizontal="center"/>
    </xf>
    <xf numFmtId="0" fontId="0" fillId="13" borderId="15" xfId="0" applyFill="1" applyBorder="1" applyAlignment="1">
      <alignment horizontal="center"/>
    </xf>
    <xf numFmtId="0" fontId="0" fillId="13" borderId="16" xfId="0" applyFill="1" applyBorder="1" applyAlignment="1">
      <alignment horizontal="center"/>
    </xf>
    <xf numFmtId="0" fontId="0" fillId="13" borderId="17" xfId="0" applyFill="1" applyBorder="1" applyAlignment="1">
      <alignment horizontal="center"/>
    </xf>
    <xf numFmtId="0" fontId="0" fillId="13" borderId="22" xfId="0" applyFill="1" applyBorder="1" applyAlignment="1">
      <alignment horizontal="center"/>
    </xf>
  </cellXfs>
  <cellStyles count="5">
    <cellStyle name="Check Cell" xfId="4" builtinId="23"/>
    <cellStyle name="Good" xfId="3" builtinId="26"/>
    <cellStyle name="Input" xfId="1" builtinId="20"/>
    <cellStyle name="Normal" xfId="0" builtinId="0"/>
    <cellStyle name="Percent" xfId="2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Thrust vs AirSpeed</a:t>
            </a:r>
          </a:p>
        </c:rich>
      </c:tx>
      <c:layout>
        <c:manualLayout>
          <c:xMode val="edge"/>
          <c:yMode val="edge"/>
          <c:x val="0.29296814843389535"/>
          <c:y val="3.20733104238258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0.11845406824146981"/>
                  <c:y val="-0.3886676144648585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'Performance Data'!$B$6:$B$14</c:f>
              <c:numCache>
                <c:formatCode>General</c:formatCode>
                <c:ptCount val="9"/>
                <c:pt idx="0">
                  <c:v>8.4885999999999999</c:v>
                </c:pt>
                <c:pt idx="1">
                  <c:v>17.124500000000001</c:v>
                </c:pt>
                <c:pt idx="2">
                  <c:v>25.608000000000001</c:v>
                </c:pt>
                <c:pt idx="3">
                  <c:v>35.012900000000002</c:v>
                </c:pt>
                <c:pt idx="4">
                  <c:v>39.633200000000002</c:v>
                </c:pt>
                <c:pt idx="5">
                  <c:v>44.359299999999998</c:v>
                </c:pt>
                <c:pt idx="6">
                  <c:v>49.3264</c:v>
                </c:pt>
                <c:pt idx="7">
                  <c:v>54.162799999999997</c:v>
                </c:pt>
                <c:pt idx="8">
                  <c:v>59.412700000000001</c:v>
                </c:pt>
              </c:numCache>
            </c:numRef>
          </c:xVal>
          <c:yVal>
            <c:numRef>
              <c:f>'Performance Data'!$C$6:$C$14</c:f>
              <c:numCache>
                <c:formatCode>General</c:formatCode>
                <c:ptCount val="9"/>
                <c:pt idx="0">
                  <c:v>1.2971999999999999</c:v>
                </c:pt>
                <c:pt idx="1">
                  <c:v>1.2618</c:v>
                </c:pt>
                <c:pt idx="2">
                  <c:v>1.1561999999999999</c:v>
                </c:pt>
                <c:pt idx="3">
                  <c:v>0.9909</c:v>
                </c:pt>
                <c:pt idx="4">
                  <c:v>0.9647</c:v>
                </c:pt>
                <c:pt idx="5">
                  <c:v>0.87090000000000001</c:v>
                </c:pt>
                <c:pt idx="6">
                  <c:v>0.79720000000000002</c:v>
                </c:pt>
                <c:pt idx="7">
                  <c:v>0.70399999999999996</c:v>
                </c:pt>
                <c:pt idx="8">
                  <c:v>0.61890000000000001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FDF-440D-A4B4-4E6EC8B7D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002944"/>
        <c:axId val="46004864"/>
      </c:scatterChart>
      <c:valAx>
        <c:axId val="460029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04864"/>
        <c:crosses val="autoZero"/>
        <c:crossBetween val="midCat"/>
      </c:valAx>
      <c:valAx>
        <c:axId val="46004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cat>
            <c:strRef>
              <c:f>'CD0 calculator'!$A$23:$A$29</c:f>
              <c:strCache>
                <c:ptCount val="7"/>
                <c:pt idx="0">
                  <c:v>WING</c:v>
                </c:pt>
                <c:pt idx="1">
                  <c:v>FUSE</c:v>
                </c:pt>
                <c:pt idx="2">
                  <c:v>HT</c:v>
                </c:pt>
                <c:pt idx="3">
                  <c:v>VT</c:v>
                </c:pt>
                <c:pt idx="4">
                  <c:v>FUSE BASE</c:v>
                </c:pt>
                <c:pt idx="5">
                  <c:v>LANDING GEAR</c:v>
                </c:pt>
                <c:pt idx="6">
                  <c:v>28% CRUD</c:v>
                </c:pt>
              </c:strCache>
            </c:strRef>
          </c:cat>
          <c:val>
            <c:numRef>
              <c:f>'CD0 calculator'!$F$23:$F$29</c:f>
              <c:numCache>
                <c:formatCode>0.0000</c:formatCode>
                <c:ptCount val="7"/>
                <c:pt idx="0">
                  <c:v>5.6667496587259501E-3</c:v>
                </c:pt>
                <c:pt idx="1">
                  <c:v>9.6335523873978292E-3</c:v>
                </c:pt>
                <c:pt idx="2">
                  <c:v>1.2804549209107208E-3</c:v>
                </c:pt>
                <c:pt idx="3">
                  <c:v>4.0435418555075401E-4</c:v>
                </c:pt>
                <c:pt idx="4">
                  <c:v>9.1520000000000002E-4</c:v>
                </c:pt>
                <c:pt idx="5">
                  <c:v>1.2500000000000001E-2</c:v>
                </c:pt>
                <c:pt idx="6">
                  <c:v>5.012087122723872E-3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62-4297-8AA0-8D93EFB86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180975</xdr:colOff>
      <xdr:row>29</xdr:row>
      <xdr:rowOff>171450</xdr:rowOff>
    </xdr:from>
    <xdr:to>
      <xdr:col>12</xdr:col>
      <xdr:colOff>285750</xdr:colOff>
      <xdr:row>45</xdr:row>
      <xdr:rowOff>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209550</xdr:colOff>
      <xdr:row>2</xdr:row>
      <xdr:rowOff>66675</xdr:rowOff>
    </xdr:from>
    <xdr:to>
      <xdr:col>8</xdr:col>
      <xdr:colOff>590550</xdr:colOff>
      <xdr:row>4</xdr:row>
      <xdr:rowOff>0</xdr:rowOff>
    </xdr:to>
    <xdr:sp macro="[0]!process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5543550" y="581025"/>
          <a:ext cx="1600200" cy="314325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Process Trade</a:t>
          </a:r>
          <a:r>
            <a:rPr lang="en-US" sz="1100" baseline="0"/>
            <a:t> Data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323850</xdr:colOff>
      <xdr:row>19</xdr:row>
      <xdr:rowOff>119062</xdr:rowOff>
    </xdr:from>
    <xdr:to>
      <xdr:col>13</xdr:col>
      <xdr:colOff>361950</xdr:colOff>
      <xdr:row>34</xdr:row>
      <xdr:rowOff>4762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D134"/>
  <sheetViews>
    <sheetView tabSelected="1" topLeftCell="A8" zoomScaleNormal="100" workbookViewId="0">
      <selection activeCell="K18" sqref="K18"/>
    </sheetView>
  </sheetViews>
  <sheetFormatPr defaultRowHeight="15" x14ac:dyDescent="0.25"/>
  <cols>
    <col min="1" max="1" width="28" style="1" bestFit="1" customWidth="1"/>
    <col min="2" max="5" width="10.7109375" style="1" customWidth="1"/>
    <col min="12" max="12" width="20.5703125" customWidth="1"/>
    <col min="17" max="17" width="10.5703125" bestFit="1" customWidth="1"/>
    <col min="20" max="20" width="9.140625" customWidth="1"/>
    <col min="22" max="22" width="9.5703125" bestFit="1" customWidth="1"/>
    <col min="23" max="23" width="10.42578125" customWidth="1"/>
    <col min="24" max="24" width="11" customWidth="1"/>
    <col min="25" max="25" width="10.5703125" bestFit="1" customWidth="1"/>
    <col min="26" max="26" width="11.5703125" bestFit="1" customWidth="1"/>
    <col min="28" max="28" width="10.5703125" bestFit="1" customWidth="1"/>
    <col min="29" max="29" width="10.28515625" bestFit="1" customWidth="1"/>
    <col min="30" max="30" width="11.28515625" bestFit="1" customWidth="1"/>
  </cols>
  <sheetData>
    <row r="1" spans="1:30" s="34" customFormat="1" ht="26.25" x14ac:dyDescent="0.4">
      <c r="A1" s="34" t="s">
        <v>52</v>
      </c>
    </row>
    <row r="2" spans="1:30" x14ac:dyDescent="0.25">
      <c r="A2" s="78"/>
      <c r="B2" s="2" t="s">
        <v>207</v>
      </c>
    </row>
    <row r="4" spans="1:30" x14ac:dyDescent="0.25">
      <c r="B4" s="1" t="s">
        <v>161</v>
      </c>
    </row>
    <row r="5" spans="1:30" x14ac:dyDescent="0.25">
      <c r="A5" s="32" t="s">
        <v>47</v>
      </c>
      <c r="B5" s="32" t="s">
        <v>43</v>
      </c>
      <c r="C5" s="32" t="s">
        <v>44</v>
      </c>
      <c r="J5" t="s">
        <v>91</v>
      </c>
      <c r="L5" t="s">
        <v>92</v>
      </c>
    </row>
    <row r="6" spans="1:30" x14ac:dyDescent="0.25">
      <c r="A6" s="1" t="s">
        <v>48</v>
      </c>
      <c r="B6">
        <v>8.4885999999999999</v>
      </c>
      <c r="C6" s="40">
        <v>1.2971999999999999</v>
      </c>
      <c r="F6" s="1"/>
      <c r="G6" t="s">
        <v>82</v>
      </c>
      <c r="J6" s="1">
        <v>21</v>
      </c>
      <c r="K6" t="s">
        <v>34</v>
      </c>
      <c r="L6" s="1">
        <v>21</v>
      </c>
    </row>
    <row r="7" spans="1:30" x14ac:dyDescent="0.25">
      <c r="A7" s="1">
        <v>230</v>
      </c>
      <c r="B7">
        <v>17.124500000000001</v>
      </c>
      <c r="C7">
        <v>1.2618</v>
      </c>
      <c r="G7" t="s">
        <v>83</v>
      </c>
      <c r="J7" s="1">
        <v>45</v>
      </c>
      <c r="K7" t="s">
        <v>34</v>
      </c>
      <c r="L7" s="1">
        <v>44</v>
      </c>
      <c r="O7" s="89" t="s">
        <v>15</v>
      </c>
      <c r="P7" s="89"/>
      <c r="Q7" s="89"/>
      <c r="Y7">
        <v>20</v>
      </c>
    </row>
    <row r="8" spans="1:30" x14ac:dyDescent="0.25">
      <c r="B8">
        <v>25.608000000000001</v>
      </c>
      <c r="C8">
        <v>1.1561999999999999</v>
      </c>
      <c r="G8" t="s">
        <v>84</v>
      </c>
      <c r="I8" s="1"/>
      <c r="J8" s="1">
        <v>19.962913831788434</v>
      </c>
      <c r="K8" t="s">
        <v>71</v>
      </c>
      <c r="L8" s="37"/>
      <c r="O8" s="3" t="s">
        <v>16</v>
      </c>
      <c r="P8" s="3">
        <f>(P12/(P12+3))*0.11*13</f>
        <v>0.95333333333333337</v>
      </c>
      <c r="Q8" s="3"/>
      <c r="S8" s="4" t="s">
        <v>23</v>
      </c>
      <c r="T8" s="4"/>
      <c r="U8" s="4">
        <f>P10/P8/P13</f>
        <v>2.6748513986013984</v>
      </c>
      <c r="V8" s="4" t="s">
        <v>24</v>
      </c>
      <c r="Y8">
        <f>Y7/1.15</f>
        <v>17.39130434782609</v>
      </c>
    </row>
    <row r="9" spans="1:30" x14ac:dyDescent="0.25">
      <c r="B9">
        <v>35.012900000000002</v>
      </c>
      <c r="C9">
        <v>0.9909</v>
      </c>
      <c r="E9" s="1">
        <f>420/230</f>
        <v>1.826086956521739</v>
      </c>
      <c r="G9" s="40" t="s">
        <v>187</v>
      </c>
      <c r="H9" s="40"/>
      <c r="I9" s="1"/>
      <c r="J9" s="1">
        <v>21</v>
      </c>
      <c r="K9" s="40"/>
      <c r="L9" s="85">
        <f>L7-L6</f>
        <v>23</v>
      </c>
      <c r="O9" s="3" t="s">
        <v>14</v>
      </c>
      <c r="P9" s="56">
        <v>3.2</v>
      </c>
      <c r="Q9" s="3"/>
      <c r="S9" s="4" t="s">
        <v>25</v>
      </c>
      <c r="T9" s="4"/>
      <c r="U9" s="4">
        <f>SQRT(U8/1481)</f>
        <v>4.2498372678869224E-2</v>
      </c>
      <c r="V9" s="4"/>
    </row>
    <row r="10" spans="1:30" x14ac:dyDescent="0.25">
      <c r="B10">
        <v>39.633200000000002</v>
      </c>
      <c r="C10">
        <v>0.9647</v>
      </c>
      <c r="G10" s="40"/>
      <c r="H10" s="40"/>
      <c r="I10" s="1"/>
      <c r="J10" s="1">
        <v>45</v>
      </c>
      <c r="K10" s="40"/>
      <c r="L10" s="84"/>
      <c r="O10" s="3" t="s">
        <v>3</v>
      </c>
      <c r="P10" s="3">
        <v>12.750125000000001</v>
      </c>
      <c r="Q10" s="3" t="s">
        <v>9</v>
      </c>
      <c r="S10" s="4" t="s">
        <v>33</v>
      </c>
      <c r="T10" s="4"/>
      <c r="U10" s="4">
        <f>U9*661</f>
        <v>28.091424340732559</v>
      </c>
      <c r="V10" s="4" t="s">
        <v>34</v>
      </c>
    </row>
    <row r="11" spans="1:30" x14ac:dyDescent="0.25">
      <c r="B11">
        <v>44.359299999999998</v>
      </c>
      <c r="C11">
        <v>0.87090000000000001</v>
      </c>
      <c r="G11" t="s">
        <v>85</v>
      </c>
      <c r="I11" s="1"/>
      <c r="J11" s="1">
        <v>26</v>
      </c>
      <c r="K11" t="s">
        <v>34</v>
      </c>
      <c r="L11" s="1">
        <v>26</v>
      </c>
      <c r="O11" s="3" t="s">
        <v>2</v>
      </c>
      <c r="P11" s="54">
        <f>'CD0 calculator'!F30</f>
        <v>3.5412398275309127E-2</v>
      </c>
      <c r="Q11" s="3"/>
      <c r="S11" s="3" t="s">
        <v>29</v>
      </c>
      <c r="T11" s="3"/>
      <c r="U11" s="3">
        <v>0</v>
      </c>
    </row>
    <row r="12" spans="1:30" x14ac:dyDescent="0.25">
      <c r="B12">
        <v>49.3264</v>
      </c>
      <c r="C12">
        <v>0.79720000000000002</v>
      </c>
      <c r="G12" t="s">
        <v>86</v>
      </c>
      <c r="I12" s="1"/>
      <c r="J12" s="1">
        <v>45</v>
      </c>
      <c r="K12" t="s">
        <v>34</v>
      </c>
      <c r="L12" s="1">
        <v>44</v>
      </c>
      <c r="O12" s="3" t="s">
        <v>12</v>
      </c>
      <c r="P12" s="55">
        <v>6</v>
      </c>
      <c r="Q12" s="3"/>
      <c r="S12" s="3" t="s">
        <v>38</v>
      </c>
      <c r="T12" s="3"/>
      <c r="U12" s="3">
        <v>0.05</v>
      </c>
    </row>
    <row r="13" spans="1:30" x14ac:dyDescent="0.25">
      <c r="B13">
        <v>54.162799999999997</v>
      </c>
      <c r="C13">
        <v>0.70399999999999996</v>
      </c>
      <c r="G13" t="s">
        <v>87</v>
      </c>
      <c r="I13" s="1"/>
      <c r="J13" s="1">
        <v>78.387629053782689</v>
      </c>
      <c r="K13" t="s">
        <v>71</v>
      </c>
      <c r="L13" s="38"/>
      <c r="O13" s="3" t="s">
        <v>7</v>
      </c>
      <c r="P13" s="55">
        <v>5</v>
      </c>
      <c r="Q13" s="3" t="s">
        <v>8</v>
      </c>
      <c r="S13" s="35" t="s">
        <v>70</v>
      </c>
      <c r="U13">
        <f>SQRT(P13*P12)</f>
        <v>5.4772255750516612</v>
      </c>
      <c r="V13" t="s">
        <v>71</v>
      </c>
      <c r="X13" t="s">
        <v>72</v>
      </c>
    </row>
    <row r="14" spans="1:30" x14ac:dyDescent="0.25">
      <c r="B14">
        <v>59.412700000000001</v>
      </c>
      <c r="C14">
        <v>0.61890000000000001</v>
      </c>
      <c r="G14" s="40" t="s">
        <v>187</v>
      </c>
      <c r="H14" s="40"/>
      <c r="I14" s="1"/>
      <c r="J14" s="1">
        <v>37.710645436067395</v>
      </c>
      <c r="K14" s="40"/>
      <c r="L14" s="85">
        <f>L12-L11</f>
        <v>18</v>
      </c>
      <c r="O14" s="33" t="s">
        <v>49</v>
      </c>
      <c r="P14" s="56">
        <v>10</v>
      </c>
      <c r="Q14" s="3" t="s">
        <v>50</v>
      </c>
    </row>
    <row r="15" spans="1:30" ht="45" x14ac:dyDescent="0.25">
      <c r="G15" s="40"/>
      <c r="H15" s="40"/>
      <c r="I15" s="1"/>
      <c r="J15" s="1"/>
      <c r="K15" s="40"/>
      <c r="L15" s="85"/>
      <c r="O15" s="5" t="s">
        <v>1</v>
      </c>
      <c r="P15" s="5" t="s">
        <v>4</v>
      </c>
      <c r="Q15" s="5" t="s">
        <v>5</v>
      </c>
      <c r="R15" s="5" t="s">
        <v>6</v>
      </c>
      <c r="S15" s="5" t="s">
        <v>10</v>
      </c>
      <c r="T15" s="5" t="s">
        <v>11</v>
      </c>
      <c r="U15" s="5" t="s">
        <v>32</v>
      </c>
      <c r="V15" s="5" t="s">
        <v>136</v>
      </c>
      <c r="W15" s="5" t="s">
        <v>17</v>
      </c>
      <c r="X15" s="5" t="s">
        <v>18</v>
      </c>
      <c r="Y15" s="5" t="s">
        <v>19</v>
      </c>
      <c r="Z15" s="5" t="s">
        <v>31</v>
      </c>
      <c r="AA15" s="5" t="s">
        <v>35</v>
      </c>
      <c r="AB15" s="5" t="s">
        <v>37</v>
      </c>
      <c r="AC15" s="5" t="s">
        <v>137</v>
      </c>
      <c r="AD15" s="5" t="s">
        <v>36</v>
      </c>
    </row>
    <row r="16" spans="1:30" x14ac:dyDescent="0.25">
      <c r="G16" t="s">
        <v>89</v>
      </c>
      <c r="I16" s="1"/>
      <c r="J16" s="1">
        <v>29</v>
      </c>
      <c r="K16" t="s">
        <v>34</v>
      </c>
      <c r="L16" s="1">
        <v>29</v>
      </c>
      <c r="O16" s="6">
        <v>10</v>
      </c>
      <c r="P16" s="7">
        <f>O16/661</f>
        <v>1.5128593040847202E-2</v>
      </c>
      <c r="Q16" s="8">
        <f>1481*P16^2</f>
        <v>0.33896287887283971</v>
      </c>
      <c r="R16" s="9" t="str">
        <f>IF(W16&lt;1,"",$P$10/Q16/$P$13)</f>
        <v/>
      </c>
      <c r="S16" s="9" t="str">
        <f>IF(W16&lt;1,"",R16^2/(PI()*$P$12)+$P$11)</f>
        <v/>
      </c>
      <c r="T16" s="8" t="str">
        <f>IF(S16="","",Q16*S16*$P$13)</f>
        <v/>
      </c>
      <c r="U16" s="8">
        <f t="shared" ref="U16:U47" si="0">$P$9*($G$34*O16^2+$G$35*O16+$G$36)</f>
        <v>4.1718399999999995</v>
      </c>
      <c r="V16" s="6" t="str">
        <f>IF(S16="","",(U16-T16)/$P$10)</f>
        <v/>
      </c>
      <c r="W16" s="10">
        <f>P16/$U$9</f>
        <v>0.35598052554067194</v>
      </c>
      <c r="X16" s="8" t="str">
        <f>IF(W16&lt;1,"",R16/S16)</f>
        <v/>
      </c>
      <c r="Y16" s="9" t="str">
        <f>IF(W16&lt;1,"",X16*P16)</f>
        <v/>
      </c>
      <c r="Z16" s="11">
        <f>O16-$U$10</f>
        <v>-18.091424340732559</v>
      </c>
      <c r="AA16" s="6" t="str">
        <f>IF(W16&lt;1,"",V16*O16/60*6080)</f>
        <v/>
      </c>
      <c r="AB16" s="8" t="str">
        <f t="shared" ref="AB16:AB68" si="1">IF(W16&lt;1,"",W16^2)</f>
        <v/>
      </c>
      <c r="AC16" s="9" t="str">
        <f t="shared" ref="AC16:AC68" si="2">IF(W16&lt;1,"",(U16-(Q16*$P$13*($P$11+$P$8^2/(PI()*$P$12))))/$P$10)</f>
        <v/>
      </c>
      <c r="AD16" s="11" t="str">
        <f t="shared" ref="AD16:AD68" si="3">IF(W16&lt;1,"",AC16*O16*6080/60)</f>
        <v/>
      </c>
    </row>
    <row r="17" spans="1:30" x14ac:dyDescent="0.25">
      <c r="G17" t="s">
        <v>90</v>
      </c>
      <c r="I17" s="1"/>
      <c r="J17" s="1">
        <v>45</v>
      </c>
      <c r="K17" t="s">
        <v>34</v>
      </c>
      <c r="L17" s="1">
        <v>44</v>
      </c>
      <c r="O17" s="6">
        <v>20</v>
      </c>
      <c r="P17" s="7">
        <f>O17/661</f>
        <v>3.0257186081694403E-2</v>
      </c>
      <c r="Q17" s="8">
        <f>1481*P17^2</f>
        <v>1.3558515154913588</v>
      </c>
      <c r="R17" s="9" t="str">
        <f t="shared" ref="R17:R68" si="4">IF(W17&lt;1,"",$P$10/Q17/$P$13)</f>
        <v/>
      </c>
      <c r="S17" s="9" t="str">
        <f t="shared" ref="S17:S68" si="5">IF(W17&lt;1,"",R17^2/(PI()*$P$12)+$P$11)</f>
        <v/>
      </c>
      <c r="T17" s="8" t="str">
        <f t="shared" ref="T17:T68" si="6">IF(S17="","",Q17*S17*$P$13)</f>
        <v/>
      </c>
      <c r="U17" s="8">
        <f t="shared" si="0"/>
        <v>3.87744</v>
      </c>
      <c r="V17" s="8" t="str">
        <f t="shared" ref="V17:V68" si="7">IF(S17="","",(U17-T17)/$P$10)</f>
        <v/>
      </c>
      <c r="W17" s="10">
        <f t="shared" ref="W17:W68" si="8">P17/$U$9</f>
        <v>0.71196105108134389</v>
      </c>
      <c r="X17" s="8" t="str">
        <f t="shared" ref="X17:X68" si="9">IF(W17&lt;1,"",R17/S17)</f>
        <v/>
      </c>
      <c r="Y17" s="9" t="str">
        <f t="shared" ref="Y17:Y68" si="10">IF(W17&lt;1,"",X17*P17)</f>
        <v/>
      </c>
      <c r="Z17" s="11">
        <f t="shared" ref="Z17:Z68" si="11">O17-$U$10</f>
        <v>-8.0914243407325586</v>
      </c>
      <c r="AA17" s="6" t="str">
        <f t="shared" ref="AA17:AA68" si="12">IF(W17&lt;1,"",V17*O17/60*6080)</f>
        <v/>
      </c>
      <c r="AB17" s="8" t="str">
        <f t="shared" si="1"/>
        <v/>
      </c>
      <c r="AC17" s="9" t="str">
        <f t="shared" si="2"/>
        <v/>
      </c>
      <c r="AD17" s="11" t="str">
        <f t="shared" si="3"/>
        <v/>
      </c>
    </row>
    <row r="18" spans="1:30" x14ac:dyDescent="0.25">
      <c r="A18" s="1" t="s">
        <v>208</v>
      </c>
      <c r="B18" s="1">
        <v>1500</v>
      </c>
      <c r="C18" s="1" t="s">
        <v>209</v>
      </c>
      <c r="G18" t="s">
        <v>88</v>
      </c>
      <c r="I18" s="1"/>
      <c r="J18" s="1">
        <v>139.17869339467632</v>
      </c>
      <c r="K18" t="s">
        <v>71</v>
      </c>
      <c r="L18" s="38"/>
      <c r="O18" s="6">
        <f>O17+1</f>
        <v>21</v>
      </c>
      <c r="P18" s="7">
        <f t="shared" ref="P18:P68" si="13">O18/661</f>
        <v>3.1770045385779121E-2</v>
      </c>
      <c r="Q18" s="8">
        <f t="shared" ref="Q18:Q68" si="14">1481*P18^2</f>
        <v>1.4948262958292231</v>
      </c>
      <c r="R18" s="9" t="str">
        <f t="shared" si="4"/>
        <v/>
      </c>
      <c r="S18" s="9" t="str">
        <f t="shared" si="5"/>
        <v/>
      </c>
      <c r="T18" s="8" t="str">
        <f t="shared" si="6"/>
        <v/>
      </c>
      <c r="U18" s="8">
        <f t="shared" si="0"/>
        <v>3.8444800000000003</v>
      </c>
      <c r="V18" s="8" t="str">
        <f t="shared" si="7"/>
        <v/>
      </c>
      <c r="W18" s="10">
        <f t="shared" si="8"/>
        <v>0.74755910363541112</v>
      </c>
      <c r="X18" s="8" t="str">
        <f t="shared" si="9"/>
        <v/>
      </c>
      <c r="Y18" s="9" t="str">
        <f t="shared" si="10"/>
        <v/>
      </c>
      <c r="Z18" s="11">
        <f t="shared" si="11"/>
        <v>-7.0914243407325586</v>
      </c>
      <c r="AA18" s="6" t="str">
        <f t="shared" si="12"/>
        <v/>
      </c>
      <c r="AB18" s="8" t="str">
        <f t="shared" si="1"/>
        <v/>
      </c>
      <c r="AC18" s="9" t="str">
        <f t="shared" si="2"/>
        <v/>
      </c>
      <c r="AD18" s="11" t="str">
        <f t="shared" si="3"/>
        <v/>
      </c>
    </row>
    <row r="19" spans="1:30" x14ac:dyDescent="0.25">
      <c r="A19" s="1" t="s">
        <v>210</v>
      </c>
      <c r="B19" s="52">
        <v>4</v>
      </c>
      <c r="G19" t="s">
        <v>187</v>
      </c>
      <c r="I19" s="1"/>
      <c r="J19" s="1"/>
      <c r="L19" s="36">
        <f>L17-L16</f>
        <v>15</v>
      </c>
      <c r="O19" s="6">
        <f t="shared" ref="O19:O68" si="15">O18+1</f>
        <v>22</v>
      </c>
      <c r="P19" s="7">
        <f t="shared" si="13"/>
        <v>3.3282904689863842E-2</v>
      </c>
      <c r="Q19" s="8">
        <f t="shared" si="14"/>
        <v>1.6405803337445439</v>
      </c>
      <c r="R19" s="9" t="str">
        <f t="shared" si="4"/>
        <v/>
      </c>
      <c r="S19" s="9" t="str">
        <f t="shared" si="5"/>
        <v/>
      </c>
      <c r="T19" s="8" t="str">
        <f t="shared" si="6"/>
        <v/>
      </c>
      <c r="U19" s="8">
        <f t="shared" si="0"/>
        <v>3.8108799999999996</v>
      </c>
      <c r="V19" s="8" t="str">
        <f t="shared" si="7"/>
        <v/>
      </c>
      <c r="W19" s="10">
        <f t="shared" si="8"/>
        <v>0.78315715618947823</v>
      </c>
      <c r="X19" s="8" t="str">
        <f t="shared" si="9"/>
        <v/>
      </c>
      <c r="Y19" s="9" t="str">
        <f t="shared" si="10"/>
        <v/>
      </c>
      <c r="Z19" s="11">
        <f t="shared" si="11"/>
        <v>-6.0914243407325586</v>
      </c>
      <c r="AA19" s="6" t="str">
        <f t="shared" si="12"/>
        <v/>
      </c>
      <c r="AB19" s="8" t="str">
        <f t="shared" si="1"/>
        <v/>
      </c>
      <c r="AC19" s="9" t="str">
        <f t="shared" si="2"/>
        <v/>
      </c>
      <c r="AD19" s="11" t="str">
        <f t="shared" si="3"/>
        <v/>
      </c>
    </row>
    <row r="20" spans="1:30" x14ac:dyDescent="0.25">
      <c r="A20" s="1" t="s">
        <v>211</v>
      </c>
      <c r="B20" s="1">
        <v>5</v>
      </c>
      <c r="G20" s="40"/>
      <c r="H20" s="40"/>
      <c r="I20" s="1"/>
      <c r="J20" s="1"/>
      <c r="K20" s="40"/>
      <c r="L20" s="40"/>
      <c r="O20" s="6">
        <f t="shared" si="15"/>
        <v>23</v>
      </c>
      <c r="P20" s="7">
        <f t="shared" si="13"/>
        <v>3.4795763993948563E-2</v>
      </c>
      <c r="Q20" s="8">
        <f t="shared" si="14"/>
        <v>1.7931136292373222</v>
      </c>
      <c r="R20" s="9" t="str">
        <f t="shared" si="4"/>
        <v/>
      </c>
      <c r="S20" s="9" t="str">
        <f t="shared" si="5"/>
        <v/>
      </c>
      <c r="T20" s="8" t="str">
        <f t="shared" si="6"/>
        <v/>
      </c>
      <c r="U20" s="8">
        <f t="shared" si="0"/>
        <v>3.77664</v>
      </c>
      <c r="V20" s="8" t="str">
        <f t="shared" si="7"/>
        <v/>
      </c>
      <c r="W20" s="10">
        <f t="shared" si="8"/>
        <v>0.81875520874354546</v>
      </c>
      <c r="X20" s="8" t="str">
        <f t="shared" si="9"/>
        <v/>
      </c>
      <c r="Y20" s="9" t="str">
        <f t="shared" si="10"/>
        <v/>
      </c>
      <c r="Z20" s="11">
        <f t="shared" si="11"/>
        <v>-5.0914243407325586</v>
      </c>
      <c r="AA20" s="6" t="str">
        <f t="shared" si="12"/>
        <v/>
      </c>
      <c r="AB20" s="8" t="str">
        <f t="shared" si="1"/>
        <v/>
      </c>
      <c r="AC20" s="9" t="str">
        <f t="shared" si="2"/>
        <v/>
      </c>
      <c r="AD20" s="11" t="str">
        <f t="shared" si="3"/>
        <v/>
      </c>
    </row>
    <row r="21" spans="1:30" x14ac:dyDescent="0.25">
      <c r="A21" s="1" t="s">
        <v>42</v>
      </c>
      <c r="B21" s="1">
        <f>0.68*NUMCELLS</f>
        <v>2.72</v>
      </c>
      <c r="C21" s="1" t="s">
        <v>51</v>
      </c>
      <c r="G21" s="40"/>
      <c r="H21" s="40"/>
      <c r="I21" s="1"/>
      <c r="J21" s="1"/>
      <c r="K21" s="40"/>
      <c r="L21" s="40"/>
      <c r="O21" s="6">
        <f t="shared" si="15"/>
        <v>24</v>
      </c>
      <c r="P21" s="7">
        <f t="shared" si="13"/>
        <v>3.6308623298033284E-2</v>
      </c>
      <c r="Q21" s="8">
        <f t="shared" si="14"/>
        <v>1.9524261823075566</v>
      </c>
      <c r="R21" s="9" t="str">
        <f t="shared" si="4"/>
        <v/>
      </c>
      <c r="S21" s="9" t="str">
        <f t="shared" si="5"/>
        <v/>
      </c>
      <c r="T21" s="8" t="str">
        <f t="shared" si="6"/>
        <v/>
      </c>
      <c r="U21" s="8">
        <f t="shared" si="0"/>
        <v>3.7417600000000002</v>
      </c>
      <c r="V21" s="8" t="str">
        <f t="shared" si="7"/>
        <v/>
      </c>
      <c r="W21" s="10">
        <f t="shared" si="8"/>
        <v>0.85435326129761269</v>
      </c>
      <c r="X21" s="8" t="str">
        <f t="shared" si="9"/>
        <v/>
      </c>
      <c r="Y21" s="9" t="str">
        <f t="shared" si="10"/>
        <v/>
      </c>
      <c r="Z21" s="11">
        <f t="shared" si="11"/>
        <v>-4.0914243407325586</v>
      </c>
      <c r="AA21" s="11" t="str">
        <f t="shared" si="12"/>
        <v/>
      </c>
      <c r="AB21" s="8" t="str">
        <f t="shared" si="1"/>
        <v/>
      </c>
      <c r="AC21" s="9" t="str">
        <f t="shared" si="2"/>
        <v/>
      </c>
      <c r="AD21" s="11" t="str">
        <f t="shared" si="3"/>
        <v/>
      </c>
    </row>
    <row r="22" spans="1:30" x14ac:dyDescent="0.25">
      <c r="A22" s="1" t="s">
        <v>212</v>
      </c>
      <c r="B22" s="1">
        <f>B20*NUMCELLS/2</f>
        <v>10</v>
      </c>
      <c r="C22" s="1" t="s">
        <v>213</v>
      </c>
      <c r="G22" t="s">
        <v>135</v>
      </c>
      <c r="I22" s="1"/>
      <c r="J22" s="1"/>
      <c r="L22">
        <f>IF(B24&lt;B23,IF(MISSION1_WARNING="",IF(MISSION2_WARNING="",IF(MISSION3_WARNING="",1,0.1),0.1),0.1),0.1)*IF(M1_TURN_MARGIN&gt;10,1,M1_TURN_MARGIN/10)*IF(m2_turn_margin&gt;10,1,m2_turn_margin/10)*IF(m3_turn_margin&gt;10,1,m3_turn_margin/10)</f>
        <v>0.1</v>
      </c>
      <c r="O22" s="6">
        <f t="shared" si="15"/>
        <v>25</v>
      </c>
      <c r="P22" s="7">
        <f t="shared" si="13"/>
        <v>3.7821482602118005E-2</v>
      </c>
      <c r="Q22" s="8">
        <f t="shared" si="14"/>
        <v>2.1185179929552485</v>
      </c>
      <c r="R22" s="9" t="str">
        <f t="shared" si="4"/>
        <v/>
      </c>
      <c r="S22" s="9" t="str">
        <f t="shared" si="5"/>
        <v/>
      </c>
      <c r="T22" s="8" t="str">
        <f t="shared" si="6"/>
        <v/>
      </c>
      <c r="U22" s="8">
        <f t="shared" si="0"/>
        <v>3.7062399999999998</v>
      </c>
      <c r="V22" s="8" t="str">
        <f t="shared" si="7"/>
        <v/>
      </c>
      <c r="W22" s="10">
        <f t="shared" si="8"/>
        <v>0.88995131385167991</v>
      </c>
      <c r="X22" s="8" t="str">
        <f t="shared" si="9"/>
        <v/>
      </c>
      <c r="Y22" s="9" t="str">
        <f t="shared" si="10"/>
        <v/>
      </c>
      <c r="Z22" s="11">
        <f t="shared" si="11"/>
        <v>-3.0914243407325586</v>
      </c>
      <c r="AA22" s="11" t="str">
        <f t="shared" si="12"/>
        <v/>
      </c>
      <c r="AB22" s="8" t="str">
        <f t="shared" si="1"/>
        <v/>
      </c>
      <c r="AC22" s="9" t="str">
        <f t="shared" si="2"/>
        <v/>
      </c>
      <c r="AD22" s="11" t="str">
        <f t="shared" si="3"/>
        <v/>
      </c>
    </row>
    <row r="23" spans="1:30" x14ac:dyDescent="0.25">
      <c r="G23" t="s">
        <v>134</v>
      </c>
      <c r="I23" s="1"/>
      <c r="J23" s="36">
        <f ca="1">NENG+HEADWIND+RAND()</f>
        <v>13.332048037990582</v>
      </c>
      <c r="O23" s="6">
        <f t="shared" si="15"/>
        <v>26</v>
      </c>
      <c r="P23" s="7">
        <f t="shared" si="13"/>
        <v>3.9334341906202726E-2</v>
      </c>
      <c r="Q23" s="8">
        <f t="shared" si="14"/>
        <v>2.2913890611803964</v>
      </c>
      <c r="R23" s="9" t="str">
        <f t="shared" si="4"/>
        <v/>
      </c>
      <c r="S23" s="9" t="str">
        <f t="shared" si="5"/>
        <v/>
      </c>
      <c r="T23" s="8" t="str">
        <f t="shared" si="6"/>
        <v/>
      </c>
      <c r="U23" s="8">
        <f t="shared" si="0"/>
        <v>3.6700800000000005</v>
      </c>
      <c r="V23" s="8" t="str">
        <f t="shared" si="7"/>
        <v/>
      </c>
      <c r="W23" s="10">
        <f t="shared" si="8"/>
        <v>0.92554936640574714</v>
      </c>
      <c r="X23" s="8" t="str">
        <f t="shared" si="9"/>
        <v/>
      </c>
      <c r="Y23" s="9" t="str">
        <f t="shared" si="10"/>
        <v/>
      </c>
      <c r="Z23" s="11">
        <f t="shared" si="11"/>
        <v>-2.0914243407325586</v>
      </c>
      <c r="AA23" s="11" t="str">
        <f t="shared" si="12"/>
        <v/>
      </c>
      <c r="AB23" s="8" t="str">
        <f t="shared" si="1"/>
        <v/>
      </c>
      <c r="AC23" s="9" t="str">
        <f t="shared" si="2"/>
        <v/>
      </c>
      <c r="AD23" s="11" t="str">
        <f t="shared" si="3"/>
        <v/>
      </c>
    </row>
    <row r="24" spans="1:30" x14ac:dyDescent="0.25">
      <c r="I24" s="1"/>
      <c r="J24" s="1"/>
      <c r="O24" s="6">
        <f t="shared" si="15"/>
        <v>27</v>
      </c>
      <c r="P24" s="7">
        <f t="shared" si="13"/>
        <v>4.084720121028744E-2</v>
      </c>
      <c r="Q24" s="8">
        <f t="shared" si="14"/>
        <v>2.471039386983001</v>
      </c>
      <c r="R24" s="9" t="str">
        <f t="shared" si="4"/>
        <v/>
      </c>
      <c r="S24" s="9" t="str">
        <f t="shared" si="5"/>
        <v/>
      </c>
      <c r="T24" s="8" t="str">
        <f t="shared" si="6"/>
        <v/>
      </c>
      <c r="U24" s="8">
        <f t="shared" si="0"/>
        <v>3.6332800000000001</v>
      </c>
      <c r="V24" s="8" t="str">
        <f t="shared" si="7"/>
        <v/>
      </c>
      <c r="W24" s="10">
        <f t="shared" si="8"/>
        <v>0.96114741895981426</v>
      </c>
      <c r="X24" s="8" t="str">
        <f t="shared" si="9"/>
        <v/>
      </c>
      <c r="Y24" s="9" t="str">
        <f t="shared" si="10"/>
        <v/>
      </c>
      <c r="Z24" s="11">
        <f t="shared" si="11"/>
        <v>-1.0914243407325586</v>
      </c>
      <c r="AA24" s="11" t="str">
        <f t="shared" si="12"/>
        <v/>
      </c>
      <c r="AB24" s="8" t="str">
        <f t="shared" si="1"/>
        <v/>
      </c>
      <c r="AC24" s="9" t="str">
        <f t="shared" si="2"/>
        <v/>
      </c>
      <c r="AD24" s="11" t="str">
        <f t="shared" si="3"/>
        <v/>
      </c>
    </row>
    <row r="25" spans="1:30" x14ac:dyDescent="0.25">
      <c r="I25" s="1"/>
      <c r="J25" s="1"/>
      <c r="O25" s="6">
        <f t="shared" si="15"/>
        <v>28</v>
      </c>
      <c r="P25" s="7">
        <f t="shared" si="13"/>
        <v>4.2360060514372161E-2</v>
      </c>
      <c r="Q25" s="8">
        <f t="shared" si="14"/>
        <v>2.657468970363063</v>
      </c>
      <c r="R25" s="9" t="str">
        <f t="shared" si="4"/>
        <v/>
      </c>
      <c r="S25" s="9" t="str">
        <f t="shared" si="5"/>
        <v/>
      </c>
      <c r="T25" s="8" t="str">
        <f t="shared" si="6"/>
        <v/>
      </c>
      <c r="U25" s="8">
        <f t="shared" si="0"/>
        <v>3.5958399999999999</v>
      </c>
      <c r="V25" s="8" t="str">
        <f t="shared" si="7"/>
        <v/>
      </c>
      <c r="W25" s="10">
        <f t="shared" si="8"/>
        <v>0.99674547151388138</v>
      </c>
      <c r="X25" s="8" t="str">
        <f t="shared" si="9"/>
        <v/>
      </c>
      <c r="Y25" s="9" t="str">
        <f t="shared" si="10"/>
        <v/>
      </c>
      <c r="Z25" s="11">
        <f t="shared" si="11"/>
        <v>-9.1424340732558562E-2</v>
      </c>
      <c r="AA25" s="11" t="str">
        <f>IF(W25&lt;1,"",V25*O25/60*6080)</f>
        <v/>
      </c>
      <c r="AB25" s="8" t="str">
        <f t="shared" si="1"/>
        <v/>
      </c>
      <c r="AC25" s="9" t="str">
        <f t="shared" si="2"/>
        <v/>
      </c>
      <c r="AD25" s="11" t="str">
        <f t="shared" si="3"/>
        <v/>
      </c>
    </row>
    <row r="26" spans="1:30" x14ac:dyDescent="0.25">
      <c r="I26" s="1"/>
      <c r="J26" s="1"/>
      <c r="O26" s="6">
        <f t="shared" si="15"/>
        <v>29</v>
      </c>
      <c r="P26" s="7">
        <f t="shared" si="13"/>
        <v>4.3872919818456882E-2</v>
      </c>
      <c r="Q26" s="8">
        <f t="shared" si="14"/>
        <v>2.850677811320582</v>
      </c>
      <c r="R26" s="9">
        <f t="shared" si="4"/>
        <v>0.89453286859474868</v>
      </c>
      <c r="S26" s="9">
        <f t="shared" si="5"/>
        <v>7.7863746006106349E-2</v>
      </c>
      <c r="T26" s="8">
        <f t="shared" si="6"/>
        <v>1.1098222652295449</v>
      </c>
      <c r="U26" s="8">
        <f t="shared" si="0"/>
        <v>3.55776</v>
      </c>
      <c r="V26" s="8">
        <f t="shared" si="7"/>
        <v>0.19199323416597525</v>
      </c>
      <c r="W26" s="10">
        <f t="shared" si="8"/>
        <v>1.0323435240679486</v>
      </c>
      <c r="X26" s="8">
        <f t="shared" si="9"/>
        <v>11.488438644148925</v>
      </c>
      <c r="Y26" s="9">
        <f t="shared" si="10"/>
        <v>0.50403134747400724</v>
      </c>
      <c r="Z26" s="11">
        <f t="shared" si="11"/>
        <v>0.90857565926744144</v>
      </c>
      <c r="AA26" s="11">
        <f t="shared" si="12"/>
        <v>564.20411746907928</v>
      </c>
      <c r="AB26" s="8">
        <f t="shared" si="1"/>
        <v>1.0657331516850312</v>
      </c>
      <c r="AC26" s="9">
        <f t="shared" si="2"/>
        <v>0.1855492590479097</v>
      </c>
      <c r="AD26" s="11">
        <f t="shared" si="3"/>
        <v>545.26742258879062</v>
      </c>
    </row>
    <row r="27" spans="1:30" ht="15.75" thickBot="1" x14ac:dyDescent="0.3">
      <c r="I27" s="1"/>
      <c r="J27" s="1"/>
      <c r="O27" s="6">
        <f t="shared" si="15"/>
        <v>30</v>
      </c>
      <c r="P27" s="7">
        <f t="shared" si="13"/>
        <v>4.5385779122541603E-2</v>
      </c>
      <c r="Q27" s="8">
        <f t="shared" si="14"/>
        <v>3.0506659098555571</v>
      </c>
      <c r="R27" s="9">
        <f t="shared" si="4"/>
        <v>0.83589126943131531</v>
      </c>
      <c r="S27" s="9">
        <f t="shared" si="5"/>
        <v>7.2480338614057283E-2</v>
      </c>
      <c r="T27" s="8">
        <f t="shared" si="6"/>
        <v>1.1055664907234597</v>
      </c>
      <c r="U27" s="8">
        <f t="shared" si="0"/>
        <v>3.5190399999999999</v>
      </c>
      <c r="V27" s="8">
        <f t="shared" si="7"/>
        <v>0.18929018415713886</v>
      </c>
      <c r="W27" s="10">
        <f t="shared" si="8"/>
        <v>1.0679415766220159</v>
      </c>
      <c r="X27" s="8">
        <f t="shared" si="9"/>
        <v>11.532662311116706</v>
      </c>
      <c r="Y27" s="9">
        <f t="shared" si="10"/>
        <v>0.52341886434720297</v>
      </c>
      <c r="Z27" s="11">
        <f t="shared" si="11"/>
        <v>1.9085756592674414</v>
      </c>
      <c r="AA27" s="11">
        <f t="shared" si="12"/>
        <v>575.44215983770209</v>
      </c>
      <c r="AB27" s="8">
        <f t="shared" si="1"/>
        <v>1.1404992110779171</v>
      </c>
      <c r="AC27" s="9">
        <f t="shared" si="2"/>
        <v>0.17595381452721126</v>
      </c>
      <c r="AD27" s="11">
        <f t="shared" si="3"/>
        <v>534.89959616272222</v>
      </c>
    </row>
    <row r="28" spans="1:30" ht="16.5" thickTop="1" thickBot="1" x14ac:dyDescent="0.3">
      <c r="A28" s="1" t="s">
        <v>53</v>
      </c>
      <c r="F28" s="30" t="s">
        <v>39</v>
      </c>
      <c r="I28" s="1"/>
      <c r="J28" s="1"/>
      <c r="O28" s="6">
        <f t="shared" si="15"/>
        <v>31</v>
      </c>
      <c r="P28" s="7">
        <f t="shared" si="13"/>
        <v>4.6898638426626324E-2</v>
      </c>
      <c r="Q28" s="8">
        <f t="shared" si="14"/>
        <v>3.2574332659679892</v>
      </c>
      <c r="R28" s="9">
        <f t="shared" si="4"/>
        <v>0.78283261445180419</v>
      </c>
      <c r="S28" s="9">
        <f t="shared" si="5"/>
        <v>6.7923875192873545E-2</v>
      </c>
      <c r="T28" s="8">
        <f t="shared" si="6"/>
        <v>1.1062874530336206</v>
      </c>
      <c r="U28" s="8">
        <f t="shared" si="0"/>
        <v>3.4796800000000001</v>
      </c>
      <c r="V28" s="8">
        <f t="shared" si="7"/>
        <v>0.18614661008942104</v>
      </c>
      <c r="W28" s="10">
        <f t="shared" si="8"/>
        <v>1.1035396291760831</v>
      </c>
      <c r="X28" s="8">
        <f t="shared" si="9"/>
        <v>11.525146529536313</v>
      </c>
      <c r="Y28" s="9">
        <f t="shared" si="10"/>
        <v>0.54051367990261079</v>
      </c>
      <c r="Z28" s="11">
        <f t="shared" si="11"/>
        <v>2.9085756592674414</v>
      </c>
      <c r="AA28" s="11">
        <f t="shared" si="12"/>
        <v>584.74855116090134</v>
      </c>
      <c r="AB28" s="8">
        <f t="shared" si="1"/>
        <v>1.217799713162087</v>
      </c>
      <c r="AC28" s="9">
        <f t="shared" si="2"/>
        <v>0.16608584860499256</v>
      </c>
      <c r="AD28" s="11">
        <f t="shared" si="3"/>
        <v>521.73101241781671</v>
      </c>
    </row>
    <row r="29" spans="1:30" ht="16.5" thickTop="1" thickBot="1" x14ac:dyDescent="0.3">
      <c r="A29" s="1" t="s">
        <v>93</v>
      </c>
      <c r="B29" s="53">
        <f>EW</f>
        <v>3.8</v>
      </c>
      <c r="C29" s="1" t="s">
        <v>54</v>
      </c>
      <c r="F29" s="30" t="s">
        <v>40</v>
      </c>
      <c r="I29" s="1"/>
      <c r="J29" s="1"/>
      <c r="O29" s="6">
        <f t="shared" si="15"/>
        <v>32</v>
      </c>
      <c r="P29" s="7">
        <f t="shared" si="13"/>
        <v>4.8411497730711045E-2</v>
      </c>
      <c r="Q29" s="8">
        <f t="shared" si="14"/>
        <v>3.4709798796578788</v>
      </c>
      <c r="R29" s="9">
        <f t="shared" si="4"/>
        <v>0.73467006102361687</v>
      </c>
      <c r="S29" s="9">
        <f t="shared" si="5"/>
        <v>6.4046499832455195E-2</v>
      </c>
      <c r="T29" s="8">
        <f t="shared" si="6"/>
        <v>1.1115205614048185</v>
      </c>
      <c r="U29" s="8">
        <f t="shared" si="0"/>
        <v>3.4396800000000001</v>
      </c>
      <c r="V29" s="8">
        <f t="shared" si="7"/>
        <v>0.18259895009618979</v>
      </c>
      <c r="W29" s="10">
        <f t="shared" si="8"/>
        <v>1.1391376817301504</v>
      </c>
      <c r="X29" s="8">
        <f t="shared" si="9"/>
        <v>11.470885418336742</v>
      </c>
      <c r="Y29" s="9">
        <f t="shared" si="10"/>
        <v>0.55532274339905563</v>
      </c>
      <c r="Z29" s="11">
        <f t="shared" si="11"/>
        <v>3.9085756592674414</v>
      </c>
      <c r="AA29" s="11">
        <f t="shared" si="12"/>
        <v>592.10752884524481</v>
      </c>
      <c r="AB29" s="8">
        <f t="shared" si="1"/>
        <v>1.2976346579375415</v>
      </c>
      <c r="AC29" s="9">
        <f t="shared" si="2"/>
        <v>0.15594536128125364</v>
      </c>
      <c r="AD29" s="11">
        <f t="shared" si="3"/>
        <v>505.6788248480118</v>
      </c>
    </row>
    <row r="30" spans="1:30" ht="16.5" thickTop="1" thickBot="1" x14ac:dyDescent="0.3">
      <c r="A30" s="1" t="s">
        <v>42</v>
      </c>
      <c r="B30" s="1">
        <v>2.86</v>
      </c>
      <c r="C30" s="1" t="s">
        <v>54</v>
      </c>
      <c r="F30" s="30" t="s">
        <v>41</v>
      </c>
      <c r="I30" s="1"/>
      <c r="J30" s="1"/>
      <c r="O30" s="6">
        <f t="shared" si="15"/>
        <v>33</v>
      </c>
      <c r="P30" s="7">
        <f t="shared" si="13"/>
        <v>4.9924357034795766E-2</v>
      </c>
      <c r="Q30" s="8">
        <f t="shared" si="14"/>
        <v>3.6913057509252245</v>
      </c>
      <c r="R30" s="9">
        <f t="shared" si="4"/>
        <v>0.69081923093497122</v>
      </c>
      <c r="S30" s="9">
        <f t="shared" si="5"/>
        <v>6.0730300289343786E-2</v>
      </c>
      <c r="T30" s="8">
        <f>IF(S30="","",Q30*S30*$P$13)</f>
        <v>1.1208705335673528</v>
      </c>
      <c r="U30" s="8">
        <f t="shared" si="0"/>
        <v>3.3990399999999994</v>
      </c>
      <c r="V30" s="8">
        <f t="shared" si="7"/>
        <v>0.1786782064044585</v>
      </c>
      <c r="W30" s="10">
        <f t="shared" si="8"/>
        <v>1.1747357342842175</v>
      </c>
      <c r="X30" s="8">
        <f t="shared" si="9"/>
        <v>11.375198667611196</v>
      </c>
      <c r="Y30" s="9">
        <f t="shared" si="10"/>
        <v>0.56789947962355447</v>
      </c>
      <c r="Z30" s="11">
        <f t="shared" si="11"/>
        <v>4.9085756592674414</v>
      </c>
      <c r="AA30" s="11">
        <f t="shared" si="12"/>
        <v>597.49992221650916</v>
      </c>
      <c r="AB30" s="8">
        <f t="shared" si="1"/>
        <v>1.3800040454042797</v>
      </c>
      <c r="AC30" s="9">
        <f t="shared" si="2"/>
        <v>0.14553235255599439</v>
      </c>
      <c r="AD30" s="11">
        <f t="shared" si="3"/>
        <v>486.66018694724522</v>
      </c>
    </row>
    <row r="31" spans="1:30" ht="15.75" thickTop="1" x14ac:dyDescent="0.25">
      <c r="A31" s="1" t="s">
        <v>58</v>
      </c>
      <c r="B31" s="1">
        <f>'Aircraft Dimensions'!C2</f>
        <v>52</v>
      </c>
      <c r="I31" s="1"/>
      <c r="J31" s="1"/>
      <c r="O31" s="6">
        <f t="shared" si="15"/>
        <v>34</v>
      </c>
      <c r="P31" s="7">
        <f t="shared" si="13"/>
        <v>5.1437216338880487E-2</v>
      </c>
      <c r="Q31" s="8">
        <f t="shared" si="14"/>
        <v>3.9184108797700272</v>
      </c>
      <c r="R31" s="9">
        <f t="shared" si="4"/>
        <v>0.65078040007628346</v>
      </c>
      <c r="S31" s="9">
        <f t="shared" si="5"/>
        <v>5.7880573700042126E-2</v>
      </c>
      <c r="T31" s="8">
        <f t="shared" si="6"/>
        <v>1.1339993485678799</v>
      </c>
      <c r="U31" s="8">
        <f t="shared" si="0"/>
        <v>3.3577599999999999</v>
      </c>
      <c r="V31" s="8">
        <f t="shared" si="7"/>
        <v>0.17441089020163489</v>
      </c>
      <c r="W31" s="10">
        <f t="shared" si="8"/>
        <v>1.2103337868382846</v>
      </c>
      <c r="X31" s="8">
        <f t="shared" si="9"/>
        <v>11.243502931551106</v>
      </c>
      <c r="Y31" s="9">
        <f t="shared" si="10"/>
        <v>0.57833449269703119</v>
      </c>
      <c r="Z31" s="11">
        <f t="shared" si="11"/>
        <v>5.9085756592674414</v>
      </c>
      <c r="AA31" s="11">
        <f t="shared" si="12"/>
        <v>600.90365370803272</v>
      </c>
      <c r="AB31" s="8">
        <f t="shared" si="1"/>
        <v>1.4649078755623022</v>
      </c>
      <c r="AC31" s="9">
        <f t="shared" si="2"/>
        <v>0.134846822429215</v>
      </c>
      <c r="AD31" s="11">
        <f t="shared" si="3"/>
        <v>464.59225220945541</v>
      </c>
    </row>
    <row r="32" spans="1:30" x14ac:dyDescent="0.25">
      <c r="A32" s="1" t="s">
        <v>60</v>
      </c>
      <c r="B32" s="1">
        <f>'Aircraft Dimensions'!P2</f>
        <v>1.2585</v>
      </c>
      <c r="C32" s="1" t="s">
        <v>59</v>
      </c>
      <c r="I32" s="1"/>
      <c r="J32" s="1"/>
      <c r="O32" s="6">
        <f t="shared" si="15"/>
        <v>35</v>
      </c>
      <c r="P32" s="7">
        <f t="shared" si="13"/>
        <v>5.2950075642965201E-2</v>
      </c>
      <c r="Q32" s="8">
        <f t="shared" si="14"/>
        <v>4.1522952661922865</v>
      </c>
      <c r="R32" s="9">
        <f t="shared" si="4"/>
        <v>0.61412419794953776</v>
      </c>
      <c r="S32" s="9">
        <f t="shared" si="5"/>
        <v>5.5420749245328957E-2</v>
      </c>
      <c r="T32" s="8">
        <f t="shared" si="6"/>
        <v>1.1506165737010459</v>
      </c>
      <c r="U32" s="8">
        <f t="shared" si="0"/>
        <v>3.3158400000000001</v>
      </c>
      <c r="V32" s="8">
        <f t="shared" si="7"/>
        <v>0.16981978030011113</v>
      </c>
      <c r="W32" s="10">
        <f t="shared" si="8"/>
        <v>1.2459318393923517</v>
      </c>
      <c r="X32" s="8">
        <f t="shared" si="9"/>
        <v>11.081124061152929</v>
      </c>
      <c r="Y32" s="9">
        <f t="shared" si="10"/>
        <v>0.58674635724712931</v>
      </c>
      <c r="Z32" s="11">
        <f t="shared" si="11"/>
        <v>6.9085756592674414</v>
      </c>
      <c r="AA32" s="11">
        <f t="shared" si="12"/>
        <v>602.29415413106085</v>
      </c>
      <c r="AB32" s="8">
        <f t="shared" si="1"/>
        <v>1.552346148411609</v>
      </c>
      <c r="AC32" s="9">
        <f t="shared" si="2"/>
        <v>0.12388877090091538</v>
      </c>
      <c r="AD32" s="11">
        <f t="shared" si="3"/>
        <v>439.39217412857982</v>
      </c>
    </row>
    <row r="33" spans="1:30" ht="15.75" thickBot="1" x14ac:dyDescent="0.3">
      <c r="A33" s="1" t="s">
        <v>61</v>
      </c>
      <c r="B33" s="1">
        <f>'Aircraft Dimensions'!F2</f>
        <v>4</v>
      </c>
      <c r="I33" s="1"/>
      <c r="J33" s="1"/>
      <c r="O33" s="6">
        <f t="shared" si="15"/>
        <v>36</v>
      </c>
      <c r="P33" s="7">
        <f t="shared" si="13"/>
        <v>5.4462934947049922E-2</v>
      </c>
      <c r="Q33" s="8">
        <f t="shared" si="14"/>
        <v>4.3929589101920019</v>
      </c>
      <c r="R33" s="9">
        <f t="shared" si="4"/>
        <v>0.58048004821619126</v>
      </c>
      <c r="S33" s="9">
        <f t="shared" si="5"/>
        <v>5.3288526910893697E-2</v>
      </c>
      <c r="T33" s="8">
        <f t="shared" si="6"/>
        <v>1.1704715455210837</v>
      </c>
      <c r="U33" s="8">
        <f t="shared" si="0"/>
        <v>3.2732799999999997</v>
      </c>
      <c r="V33" s="8">
        <f t="shared" si="7"/>
        <v>0.16492453638524454</v>
      </c>
      <c r="W33" s="10">
        <f t="shared" si="8"/>
        <v>1.2815298919464191</v>
      </c>
      <c r="X33" s="8">
        <f t="shared" si="9"/>
        <v>10.893152463884764</v>
      </c>
      <c r="Y33" s="9">
        <f t="shared" si="10"/>
        <v>0.59327305400885244</v>
      </c>
      <c r="Z33" s="11">
        <f t="shared" si="11"/>
        <v>7.9085756592674414</v>
      </c>
      <c r="AA33" s="11">
        <f t="shared" si="12"/>
        <v>601.644708733372</v>
      </c>
      <c r="AB33" s="8">
        <f t="shared" si="1"/>
        <v>1.6423188639522006</v>
      </c>
      <c r="AC33" s="9">
        <f t="shared" si="2"/>
        <v>0.11265819797109547</v>
      </c>
      <c r="AD33" s="11">
        <f t="shared" si="3"/>
        <v>410.97710619855627</v>
      </c>
    </row>
    <row r="34" spans="1:30" ht="16.5" thickTop="1" thickBot="1" x14ac:dyDescent="0.3">
      <c r="A34" s="1" t="s">
        <v>62</v>
      </c>
      <c r="B34" s="1">
        <f>'Aircraft Dimensions'!P3</f>
        <v>8</v>
      </c>
      <c r="C34" s="1" t="s">
        <v>59</v>
      </c>
      <c r="G34" s="31">
        <v>-1E-4</v>
      </c>
      <c r="H34" t="s">
        <v>45</v>
      </c>
      <c r="I34" s="1"/>
      <c r="J34" s="1"/>
      <c r="O34" s="6">
        <f t="shared" si="15"/>
        <v>37</v>
      </c>
      <c r="P34" s="7">
        <f t="shared" si="13"/>
        <v>5.5975794251134643E-2</v>
      </c>
      <c r="Q34" s="8">
        <f t="shared" si="14"/>
        <v>4.6404018117691752</v>
      </c>
      <c r="R34" s="9">
        <f t="shared" si="4"/>
        <v>0.54952676587887783</v>
      </c>
      <c r="S34" s="9">
        <f t="shared" si="5"/>
        <v>5.1432917149827381E-2</v>
      </c>
      <c r="T34" s="8">
        <f t="shared" si="6"/>
        <v>1.1933470096331642</v>
      </c>
      <c r="U34" s="8">
        <f t="shared" si="0"/>
        <v>3.2300799999999996</v>
      </c>
      <c r="V34" s="8">
        <f t="shared" si="7"/>
        <v>0.15974219785036109</v>
      </c>
      <c r="W34" s="10">
        <f t="shared" si="8"/>
        <v>1.3171279445004862</v>
      </c>
      <c r="X34" s="8">
        <f t="shared" si="9"/>
        <v>10.684339841702371</v>
      </c>
      <c r="Y34" s="9">
        <f t="shared" si="10"/>
        <v>0.59806440868833244</v>
      </c>
      <c r="Z34" s="11">
        <f t="shared" si="11"/>
        <v>8.9085756592674414</v>
      </c>
      <c r="AA34" s="11">
        <f t="shared" si="12"/>
        <v>598.92674714028726</v>
      </c>
      <c r="AB34" s="8">
        <f t="shared" si="1"/>
        <v>1.7348260221840759</v>
      </c>
      <c r="AC34" s="9">
        <f t="shared" si="2"/>
        <v>0.10115510363975529</v>
      </c>
      <c r="AD34" s="11">
        <f t="shared" si="3"/>
        <v>379.26420191332249</v>
      </c>
    </row>
    <row r="35" spans="1:30" ht="16.5" thickTop="1" thickBot="1" x14ac:dyDescent="0.3">
      <c r="G35" s="30">
        <v>-6.1999999999999998E-3</v>
      </c>
      <c r="H35" t="s">
        <v>46</v>
      </c>
      <c r="I35" s="1"/>
      <c r="J35" s="1"/>
      <c r="O35" s="6">
        <f t="shared" si="15"/>
        <v>38</v>
      </c>
      <c r="P35" s="7">
        <f t="shared" si="13"/>
        <v>5.7488653555219364E-2</v>
      </c>
      <c r="Q35" s="8">
        <f t="shared" si="14"/>
        <v>4.8946239709238055</v>
      </c>
      <c r="R35" s="9">
        <f t="shared" si="4"/>
        <v>0.52098486321896376</v>
      </c>
      <c r="S35" s="9">
        <f t="shared" si="5"/>
        <v>4.981195383158267E-2</v>
      </c>
      <c r="T35" s="8">
        <f t="shared" si="6"/>
        <v>1.2190539163130722</v>
      </c>
      <c r="U35" s="8">
        <f t="shared" si="0"/>
        <v>3.1862399999999997</v>
      </c>
      <c r="V35" s="8">
        <f t="shared" si="7"/>
        <v>0.1542875919794455</v>
      </c>
      <c r="W35" s="10">
        <f t="shared" si="8"/>
        <v>1.3527259970545533</v>
      </c>
      <c r="X35" s="8">
        <f t="shared" si="9"/>
        <v>10.459032885568917</v>
      </c>
      <c r="Y35" s="9">
        <f t="shared" si="10"/>
        <v>0.60127571808111779</v>
      </c>
      <c r="Z35" s="11">
        <f t="shared" si="11"/>
        <v>9.9085756592674414</v>
      </c>
      <c r="AA35" s="11">
        <f t="shared" si="12"/>
        <v>594.11008751551822</v>
      </c>
      <c r="AB35" s="8">
        <f t="shared" si="1"/>
        <v>1.8298676231072355</v>
      </c>
      <c r="AC35" s="9">
        <f t="shared" si="2"/>
        <v>8.9379487906894886E-2</v>
      </c>
      <c r="AD35" s="11">
        <f t="shared" si="3"/>
        <v>344.17061476681658</v>
      </c>
    </row>
    <row r="36" spans="1:30" ht="16.5" thickTop="1" thickBot="1" x14ac:dyDescent="0.3">
      <c r="G36" s="30">
        <v>1.3756999999999999</v>
      </c>
      <c r="I36" s="1"/>
      <c r="J36" s="1"/>
      <c r="O36" s="6">
        <f t="shared" si="15"/>
        <v>39</v>
      </c>
      <c r="P36" s="7">
        <f t="shared" ref="P36:P42" si="16">O36/661</f>
        <v>5.9001512859304085E-2</v>
      </c>
      <c r="Q36" s="8">
        <f t="shared" ref="Q36:Q42" si="17">1481*P36^2</f>
        <v>5.155625387655892</v>
      </c>
      <c r="R36" s="9">
        <f t="shared" ref="R36:R42" si="18">IF(W36&lt;1,"",$P$10/Q36/$P$13)</f>
        <v>0.49461021859841142</v>
      </c>
      <c r="S36" s="9">
        <f t="shared" ref="S36:S42" si="19">IF(W36&lt;1,"",R36^2/(PI()*$P$12)+$P$11)</f>
        <v>4.8390914552312092E-2</v>
      </c>
      <c r="T36" s="8">
        <f t="shared" ref="T36:T42" si="20">IF(S36="","",Q36*S36*$P$13)</f>
        <v>1.2474271379889359</v>
      </c>
      <c r="U36" s="8">
        <f t="shared" si="0"/>
        <v>3.1417599999999997</v>
      </c>
      <c r="V36" s="8">
        <f t="shared" ref="V36:V42" si="21">IF(S36="","",(U36-T36)/$P$10)</f>
        <v>0.14857366982763415</v>
      </c>
      <c r="W36" s="10">
        <f t="shared" ref="W36:W42" si="22">P36/$U$9</f>
        <v>1.3883240496086207</v>
      </c>
      <c r="X36" s="8">
        <f t="shared" ref="X36:X42" si="23">IF(W36&lt;1,"",R36/S36)</f>
        <v>10.221138062264194</v>
      </c>
      <c r="Y36" s="9">
        <f t="shared" ref="Y36:Y42" si="24">IF(W36&lt;1,"",X36*P36)</f>
        <v>0.60306260881740326</v>
      </c>
      <c r="Z36" s="11">
        <f t="shared" ref="Z36:Z42" si="25">O36-$U$10</f>
        <v>10.908575659267441</v>
      </c>
      <c r="AA36" s="11">
        <f t="shared" ref="AA36:AA42" si="26">IF(W36&lt;1,"",V36*O36/60*6080)</f>
        <v>587.16314315881004</v>
      </c>
      <c r="AB36" s="8">
        <f t="shared" ref="AB36:AB42" si="27">IF(W36&lt;1,"",W36^2)</f>
        <v>1.9274436667216799</v>
      </c>
      <c r="AC36" s="9">
        <f t="shared" ref="AC36:AC42" si="28">IF(W36&lt;1,"",(U36-(Q36*$P$13*($P$11+$P$8^2/(PI()*$P$12))))/$P$10)</f>
        <v>7.7331350772514226E-2</v>
      </c>
      <c r="AD36" s="11">
        <f t="shared" ref="AD36:AD42" si="29">IF(W36&lt;1,"",AC36*O36*6080/60)</f>
        <v>305.61349825297629</v>
      </c>
    </row>
    <row r="37" spans="1:30" ht="15.75" thickTop="1" x14ac:dyDescent="0.25">
      <c r="I37" s="1"/>
      <c r="J37" s="1"/>
      <c r="O37" s="6">
        <f t="shared" si="15"/>
        <v>40</v>
      </c>
      <c r="P37" s="7">
        <f t="shared" si="16"/>
        <v>6.0514372163388806E-2</v>
      </c>
      <c r="Q37" s="8">
        <f t="shared" si="17"/>
        <v>5.4234060619654354</v>
      </c>
      <c r="R37" s="9">
        <f t="shared" si="18"/>
        <v>0.47018883905511483</v>
      </c>
      <c r="S37" s="9">
        <f t="shared" si="19"/>
        <v>4.7140926273116161E-2</v>
      </c>
      <c r="T37" s="8">
        <f t="shared" si="20"/>
        <v>1.2783219265814192</v>
      </c>
      <c r="U37" s="8">
        <f t="shared" si="0"/>
        <v>3.0966399999999998</v>
      </c>
      <c r="V37" s="8">
        <f t="shared" si="21"/>
        <v>0.14261178407416245</v>
      </c>
      <c r="W37" s="10">
        <f t="shared" si="22"/>
        <v>1.4239221021626878</v>
      </c>
      <c r="X37" s="8">
        <f t="shared" si="23"/>
        <v>9.9741111647027019</v>
      </c>
      <c r="Y37" s="9">
        <f t="shared" si="24"/>
        <v>0.60357707501983071</v>
      </c>
      <c r="Z37" s="11">
        <f t="shared" si="25"/>
        <v>11.908575659267441</v>
      </c>
      <c r="AA37" s="11">
        <f t="shared" si="26"/>
        <v>578.0530981139384</v>
      </c>
      <c r="AB37" s="8">
        <f t="shared" si="27"/>
        <v>2.0275541530274079</v>
      </c>
      <c r="AC37" s="9">
        <f t="shared" si="28"/>
        <v>6.5010692236613363E-2</v>
      </c>
      <c r="AD37" s="11">
        <f t="shared" si="29"/>
        <v>263.51000586573952</v>
      </c>
    </row>
    <row r="38" spans="1:30" x14ac:dyDescent="0.25">
      <c r="A38" s="1" t="s">
        <v>55</v>
      </c>
      <c r="B38" s="1">
        <f>B29+B30</f>
        <v>6.66</v>
      </c>
      <c r="C38" s="1" t="s">
        <v>54</v>
      </c>
      <c r="I38" s="1"/>
      <c r="J38" s="1"/>
      <c r="O38" s="6">
        <f t="shared" si="15"/>
        <v>41</v>
      </c>
      <c r="P38" s="7">
        <f t="shared" si="16"/>
        <v>6.2027231467473527E-2</v>
      </c>
      <c r="Q38" s="8">
        <f t="shared" si="17"/>
        <v>5.6979659938524359</v>
      </c>
      <c r="R38" s="9">
        <f t="shared" si="18"/>
        <v>0.44753250594181065</v>
      </c>
      <c r="S38" s="9">
        <f t="shared" si="19"/>
        <v>4.6037865777474388E-2</v>
      </c>
      <c r="T38" s="8">
        <f t="shared" si="20"/>
        <v>1.3116109681479595</v>
      </c>
      <c r="U38" s="8">
        <f t="shared" si="0"/>
        <v>3.0508799999999998</v>
      </c>
      <c r="V38" s="8">
        <f t="shared" si="21"/>
        <v>0.13641192002839503</v>
      </c>
      <c r="W38" s="10">
        <f t="shared" si="22"/>
        <v>1.4595201547167551</v>
      </c>
      <c r="X38" s="8">
        <f t="shared" si="23"/>
        <v>9.720965522271916</v>
      </c>
      <c r="Y38" s="9">
        <f t="shared" si="24"/>
        <v>0.6029645785372898</v>
      </c>
      <c r="Z38" s="11">
        <f t="shared" si="25"/>
        <v>12.908575659267441</v>
      </c>
      <c r="AA38" s="11">
        <f t="shared" si="26"/>
        <v>566.74605707797184</v>
      </c>
      <c r="AB38" s="8">
        <f t="shared" si="27"/>
        <v>2.1301990820244208</v>
      </c>
      <c r="AC38" s="9">
        <f t="shared" si="28"/>
        <v>5.2417512299192205E-2</v>
      </c>
      <c r="AD38" s="11">
        <f t="shared" si="29"/>
        <v>217.77729109904388</v>
      </c>
    </row>
    <row r="39" spans="1:30" x14ac:dyDescent="0.25">
      <c r="A39" s="1" t="s">
        <v>56</v>
      </c>
      <c r="B39" s="1">
        <f>B38+B31*B32/16</f>
        <v>10.750125000000001</v>
      </c>
      <c r="C39" s="1" t="s">
        <v>54</v>
      </c>
      <c r="I39" s="1"/>
      <c r="J39" s="1"/>
      <c r="O39" s="6">
        <f t="shared" si="15"/>
        <v>42</v>
      </c>
      <c r="P39" s="7">
        <f t="shared" si="16"/>
        <v>6.3540090771558241E-2</v>
      </c>
      <c r="Q39" s="8">
        <f t="shared" si="17"/>
        <v>5.9793051833168924</v>
      </c>
      <c r="R39" s="9">
        <f t="shared" si="18"/>
        <v>0.4264751374649568</v>
      </c>
      <c r="S39" s="9">
        <f t="shared" si="19"/>
        <v>4.506148728477085E-2</v>
      </c>
      <c r="T39" s="8">
        <f t="shared" si="20"/>
        <v>1.3471819224489927</v>
      </c>
      <c r="U39" s="8">
        <f t="shared" si="0"/>
        <v>3.00448</v>
      </c>
      <c r="V39" s="8">
        <f t="shared" si="21"/>
        <v>0.12998288860313192</v>
      </c>
      <c r="W39" s="10">
        <f t="shared" si="22"/>
        <v>1.4951182072708222</v>
      </c>
      <c r="X39" s="8">
        <f t="shared" si="23"/>
        <v>9.4642934168994888</v>
      </c>
      <c r="Y39" s="9">
        <f t="shared" si="24"/>
        <v>0.60136206279845461</v>
      </c>
      <c r="Z39" s="11">
        <f t="shared" si="25"/>
        <v>13.908575659267441</v>
      </c>
      <c r="AA39" s="11">
        <f t="shared" si="26"/>
        <v>553.2071738949295</v>
      </c>
      <c r="AB39" s="8">
        <f t="shared" si="27"/>
        <v>2.2353784537127175</v>
      </c>
      <c r="AC39" s="9">
        <f t="shared" si="28"/>
        <v>3.9551810960250872E-2</v>
      </c>
      <c r="AD39" s="11">
        <f t="shared" si="29"/>
        <v>168.33250744682769</v>
      </c>
    </row>
    <row r="40" spans="1:30" x14ac:dyDescent="0.25">
      <c r="A40" s="1" t="s">
        <v>57</v>
      </c>
      <c r="B40" s="1">
        <f>B31*B32/16+B38+B33*B34/16</f>
        <v>12.750125000000001</v>
      </c>
      <c r="C40" s="1" t="s">
        <v>54</v>
      </c>
      <c r="D40" s="79" t="s">
        <v>159</v>
      </c>
      <c r="I40" s="1"/>
      <c r="J40" s="1"/>
      <c r="O40" s="6">
        <f t="shared" si="15"/>
        <v>43</v>
      </c>
      <c r="P40" s="7">
        <f t="shared" si="16"/>
        <v>6.5052950075642962E-2</v>
      </c>
      <c r="Q40" s="8">
        <f t="shared" si="17"/>
        <v>6.267423630358806</v>
      </c>
      <c r="R40" s="9">
        <f t="shared" si="18"/>
        <v>0.40686973633757911</v>
      </c>
      <c r="S40" s="9">
        <f t="shared" si="19"/>
        <v>4.4194726253564076E-2</v>
      </c>
      <c r="T40" s="8">
        <f t="shared" si="20"/>
        <v>1.3849353582941308</v>
      </c>
      <c r="U40" s="8">
        <f t="shared" si="0"/>
        <v>2.9574400000000001</v>
      </c>
      <c r="V40" s="8">
        <f t="shared" si="21"/>
        <v>0.12333248824665399</v>
      </c>
      <c r="W40" s="10">
        <f t="shared" si="22"/>
        <v>1.5307162598248893</v>
      </c>
      <c r="X40" s="8">
        <f t="shared" si="23"/>
        <v>9.2062961087979858</v>
      </c>
      <c r="Y40" s="9">
        <f t="shared" si="24"/>
        <v>0.59889672114722148</v>
      </c>
      <c r="Z40" s="11">
        <f t="shared" si="25"/>
        <v>14.908575659267441</v>
      </c>
      <c r="AA40" s="11">
        <f t="shared" si="26"/>
        <v>537.40076212008694</v>
      </c>
      <c r="AB40" s="8">
        <f t="shared" si="27"/>
        <v>2.3430922680922981</v>
      </c>
      <c r="AC40" s="9">
        <f t="shared" si="28"/>
        <v>2.6413588219789223E-2</v>
      </c>
      <c r="AD40" s="11">
        <f t="shared" si="29"/>
        <v>115.09280840302823</v>
      </c>
    </row>
    <row r="41" spans="1:30" x14ac:dyDescent="0.25">
      <c r="D41" s="79"/>
      <c r="I41" s="1"/>
      <c r="J41" s="1"/>
      <c r="O41" s="6">
        <f t="shared" si="15"/>
        <v>44</v>
      </c>
      <c r="P41" s="7">
        <f t="shared" si="16"/>
        <v>6.6565809379727683E-2</v>
      </c>
      <c r="Q41" s="8">
        <f t="shared" si="17"/>
        <v>6.5623213349781757</v>
      </c>
      <c r="R41" s="9">
        <f t="shared" si="18"/>
        <v>0.38858581740092141</v>
      </c>
      <c r="S41" s="9">
        <f t="shared" si="19"/>
        <v>4.3423140709437286E-2</v>
      </c>
      <c r="T41" s="8">
        <f t="shared" si="20"/>
        <v>1.4247830135464983</v>
      </c>
      <c r="U41" s="8">
        <f t="shared" si="0"/>
        <v>2.9097599999999999</v>
      </c>
      <c r="V41" s="8">
        <f t="shared" si="21"/>
        <v>0.11646764141163334</v>
      </c>
      <c r="W41" s="10">
        <f t="shared" si="22"/>
        <v>1.5663143123789565</v>
      </c>
      <c r="X41" s="8">
        <f t="shared" si="23"/>
        <v>8.9488187876854521</v>
      </c>
      <c r="Y41" s="9">
        <f t="shared" si="24"/>
        <v>0.59568536559479557</v>
      </c>
      <c r="Z41" s="11">
        <f t="shared" si="25"/>
        <v>15.908575659267441</v>
      </c>
      <c r="AA41" s="11">
        <f t="shared" si="26"/>
        <v>519.29039050733581</v>
      </c>
      <c r="AB41" s="8">
        <f t="shared" si="27"/>
        <v>2.453340525163163</v>
      </c>
      <c r="AC41" s="9">
        <f t="shared" si="28"/>
        <v>1.3002844077807359E-2</v>
      </c>
      <c r="AD41" s="11">
        <f t="shared" si="29"/>
        <v>57.975347461583745</v>
      </c>
    </row>
    <row r="42" spans="1:30" x14ac:dyDescent="0.25">
      <c r="I42" s="1"/>
      <c r="J42" s="1"/>
      <c r="O42" s="6">
        <f t="shared" si="15"/>
        <v>45</v>
      </c>
      <c r="P42" s="7">
        <f t="shared" si="16"/>
        <v>6.8078668683812404E-2</v>
      </c>
      <c r="Q42" s="8">
        <f t="shared" si="17"/>
        <v>6.8639982971750042</v>
      </c>
      <c r="R42" s="9">
        <f t="shared" si="18"/>
        <v>0.37150723085836235</v>
      </c>
      <c r="S42" s="9">
        <f t="shared" si="19"/>
        <v>4.2734460564444562E-2</v>
      </c>
      <c r="T42" s="8">
        <f t="shared" si="20"/>
        <v>1.4666463227251991</v>
      </c>
      <c r="U42" s="8">
        <f t="shared" si="0"/>
        <v>2.86144</v>
      </c>
      <c r="V42" s="8">
        <f t="shared" si="21"/>
        <v>0.10939451003616049</v>
      </c>
      <c r="W42" s="10">
        <f t="shared" si="22"/>
        <v>1.6019123649330238</v>
      </c>
      <c r="X42" s="8">
        <f t="shared" si="23"/>
        <v>8.6933876302971171</v>
      </c>
      <c r="Y42" s="9">
        <f t="shared" si="24"/>
        <v>0.59183425622295049</v>
      </c>
      <c r="Z42" s="11">
        <f t="shared" si="25"/>
        <v>16.908575659267441</v>
      </c>
      <c r="AA42" s="11">
        <f t="shared" si="26"/>
        <v>498.8389657648919</v>
      </c>
      <c r="AB42" s="8">
        <f t="shared" si="27"/>
        <v>2.5661232249253132</v>
      </c>
      <c r="AC42" s="9">
        <f t="shared" si="28"/>
        <v>-6.8042146569475181E-4</v>
      </c>
      <c r="AD42" s="11">
        <f t="shared" si="29"/>
        <v>-3.1027218835680679</v>
      </c>
    </row>
    <row r="43" spans="1:30" x14ac:dyDescent="0.25">
      <c r="A43" s="1" t="s">
        <v>63</v>
      </c>
      <c r="B43" s="1">
        <f>J12</f>
        <v>45</v>
      </c>
      <c r="C43" s="1" t="s">
        <v>50</v>
      </c>
      <c r="I43" s="1"/>
      <c r="J43" s="1"/>
      <c r="O43" s="6">
        <f t="shared" si="15"/>
        <v>46</v>
      </c>
      <c r="P43" s="7">
        <f t="shared" ref="P43:P66" si="30">O43/661</f>
        <v>6.9591527987897125E-2</v>
      </c>
      <c r="Q43" s="8">
        <f t="shared" ref="Q43:Q66" si="31">1481*P43^2</f>
        <v>7.1724545169492888</v>
      </c>
      <c r="R43" s="9">
        <f t="shared" ref="R43:R66" si="32">IF(W43&lt;1,"",$P$10/Q43/$P$13)</f>
        <v>0.35553031308515293</v>
      </c>
      <c r="S43" s="9">
        <f t="shared" ref="S43:S66" si="33">IF(W43&lt;1,"",R43^2/(PI()*$P$12)+$P$11)</f>
        <v>4.2118222224084054E-2</v>
      </c>
      <c r="T43" s="8">
        <f t="shared" ref="T43:T66" si="34">IF(S43="","",Q43*S43*$P$13)</f>
        <v>1.5104551661850278</v>
      </c>
      <c r="U43" s="8">
        <f t="shared" si="0"/>
        <v>2.8124799999999999</v>
      </c>
      <c r="V43" s="8">
        <f t="shared" ref="V43:V66" si="35">IF(S43="","",(U43-T43)/$P$10)</f>
        <v>0.1021185936463346</v>
      </c>
      <c r="W43" s="10">
        <f t="shared" ref="W43:W66" si="36">P43/$U$9</f>
        <v>1.6375104174870909</v>
      </c>
      <c r="X43" s="8">
        <f t="shared" ref="X43:X66" si="37">IF(W43&lt;1,"",R43/S43)</f>
        <v>8.4412469071843557</v>
      </c>
      <c r="Y43" s="9">
        <f t="shared" ref="Y43:Y66" si="38">IF(W43&lt;1,"",X43*P43)</f>
        <v>0.58743927039407018</v>
      </c>
      <c r="Z43" s="11">
        <f t="shared" ref="Z43:Z66" si="39">O43-$U$10</f>
        <v>17.908575659267441</v>
      </c>
      <c r="AA43" s="11">
        <f t="shared" ref="AA43:AA66" si="40">IF(W43&lt;1,"",V43*O43/60*6080)</f>
        <v>476.00880451678108</v>
      </c>
      <c r="AB43" s="8">
        <f t="shared" ref="AB43:AB66" si="41">IF(W43&lt;1,"",W43^2)</f>
        <v>2.6814403673787468</v>
      </c>
      <c r="AC43" s="9">
        <f t="shared" ref="AC43:AC66" si="42">IF(W43&lt;1,"",(U43-(Q43*$P$13*($P$11+$P$8^2/(PI()*$P$12))))/$P$10)</f>
        <v>-1.4636208410717146E-2</v>
      </c>
      <c r="AD43" s="11">
        <f t="shared" ref="AD43:AD66" si="43">IF(W43&lt;1,"",AC43*O43*6080/60)</f>
        <v>-68.224246138489519</v>
      </c>
    </row>
    <row r="44" spans="1:30" x14ac:dyDescent="0.25">
      <c r="A44" s="1" t="s">
        <v>64</v>
      </c>
      <c r="B44" s="1">
        <f>50/B43*30</f>
        <v>33.333333333333336</v>
      </c>
      <c r="C44" s="1" t="s">
        <v>65</v>
      </c>
      <c r="E44" s="1" t="s">
        <v>74</v>
      </c>
      <c r="F44">
        <v>16</v>
      </c>
      <c r="G44" t="s">
        <v>81</v>
      </c>
      <c r="I44" s="1"/>
      <c r="J44" s="1"/>
      <c r="O44" s="6">
        <f t="shared" si="15"/>
        <v>47</v>
      </c>
      <c r="P44" s="7">
        <f t="shared" si="30"/>
        <v>7.1104387291981846E-2</v>
      </c>
      <c r="Q44" s="8">
        <f t="shared" si="31"/>
        <v>7.4876899943010287</v>
      </c>
      <c r="R44" s="9">
        <f t="shared" si="32"/>
        <v>0.34056230986336977</v>
      </c>
      <c r="S44" s="9">
        <f t="shared" si="33"/>
        <v>4.1565470919686084E-2</v>
      </c>
      <c r="T44" s="8">
        <f t="shared" si="34"/>
        <v>1.5561468035687192</v>
      </c>
      <c r="U44" s="8">
        <f t="shared" si="0"/>
        <v>2.76288</v>
      </c>
      <c r="V44" s="8">
        <f t="shared" si="35"/>
        <v>9.4644813006247455E-2</v>
      </c>
      <c r="W44" s="10">
        <f t="shared" si="36"/>
        <v>1.6731084700411583</v>
      </c>
      <c r="X44" s="8">
        <f t="shared" si="37"/>
        <v>8.1933947174907118</v>
      </c>
      <c r="Y44" s="9">
        <f t="shared" si="38"/>
        <v>0.58258631122853777</v>
      </c>
      <c r="Z44" s="11">
        <f t="shared" si="39"/>
        <v>18.908575659267441</v>
      </c>
      <c r="AA44" s="11">
        <f t="shared" si="40"/>
        <v>450.76169607775455</v>
      </c>
      <c r="AB44" s="8">
        <f t="shared" si="41"/>
        <v>2.7992919525234652</v>
      </c>
      <c r="AC44" s="9">
        <f t="shared" si="42"/>
        <v>-2.886451675725972E-2</v>
      </c>
      <c r="AD44" s="11">
        <f t="shared" si="43"/>
        <v>-137.47207180924229</v>
      </c>
    </row>
    <row r="45" spans="1:30" x14ac:dyDescent="0.25">
      <c r="A45" s="1" t="s">
        <v>66</v>
      </c>
      <c r="B45" s="1">
        <f>B44*3</f>
        <v>100</v>
      </c>
      <c r="C45" s="1" t="s">
        <v>65</v>
      </c>
      <c r="E45" s="1" t="s">
        <v>74</v>
      </c>
      <c r="F45">
        <v>80</v>
      </c>
      <c r="G45" t="s">
        <v>65</v>
      </c>
      <c r="I45" s="1"/>
      <c r="J45" s="1"/>
      <c r="O45" s="6">
        <f t="shared" si="15"/>
        <v>48</v>
      </c>
      <c r="P45" s="7">
        <f t="shared" si="30"/>
        <v>7.2617246596066568E-2</v>
      </c>
      <c r="Q45" s="8">
        <f t="shared" si="31"/>
        <v>7.8097047292302264</v>
      </c>
      <c r="R45" s="9">
        <f t="shared" si="32"/>
        <v>0.32652002712160755</v>
      </c>
      <c r="S45" s="9">
        <f t="shared" si="33"/>
        <v>4.1068517101412058E-2</v>
      </c>
      <c r="T45" s="8">
        <f t="shared" si="34"/>
        <v>1.603664961146851</v>
      </c>
      <c r="U45" s="8">
        <f t="shared" si="0"/>
        <v>2.7126399999999999</v>
      </c>
      <c r="V45" s="8">
        <f t="shared" si="35"/>
        <v>8.6977581698465617E-2</v>
      </c>
      <c r="W45" s="10">
        <f t="shared" si="36"/>
        <v>1.7087065225952254</v>
      </c>
      <c r="X45" s="8">
        <f t="shared" si="37"/>
        <v>7.9506164372898871</v>
      </c>
      <c r="Y45" s="9">
        <f t="shared" si="38"/>
        <v>0.57735187441741997</v>
      </c>
      <c r="Z45" s="11">
        <f t="shared" si="39"/>
        <v>19.908575659267441</v>
      </c>
      <c r="AA45" s="11">
        <f t="shared" si="40"/>
        <v>423.05895738133677</v>
      </c>
      <c r="AB45" s="8">
        <f t="shared" si="41"/>
        <v>2.9196779803594675</v>
      </c>
      <c r="AC45" s="9">
        <f t="shared" si="42"/>
        <v>-4.3365346505322575E-2</v>
      </c>
      <c r="AD45" s="11">
        <f t="shared" si="43"/>
        <v>-210.929045401889</v>
      </c>
    </row>
    <row r="46" spans="1:30" x14ac:dyDescent="0.25">
      <c r="I46" s="1"/>
      <c r="J46" s="1"/>
      <c r="O46" s="6">
        <f t="shared" si="15"/>
        <v>49</v>
      </c>
      <c r="P46" s="7">
        <f t="shared" si="30"/>
        <v>7.4130105900151289E-2</v>
      </c>
      <c r="Q46" s="8">
        <f t="shared" si="31"/>
        <v>8.138498721736882</v>
      </c>
      <c r="R46" s="9">
        <f t="shared" si="32"/>
        <v>0.31332867242323348</v>
      </c>
      <c r="S46" s="9">
        <f t="shared" si="33"/>
        <v>4.0620736199616661E-2</v>
      </c>
      <c r="T46" s="8">
        <f t="shared" si="34"/>
        <v>1.6529590481829564</v>
      </c>
      <c r="U46" s="8">
        <f t="shared" si="0"/>
        <v>2.6617599999999997</v>
      </c>
      <c r="V46" s="8">
        <f t="shared" si="35"/>
        <v>7.9120867584987861E-2</v>
      </c>
      <c r="W46" s="10">
        <f t="shared" si="36"/>
        <v>1.7443045751492927</v>
      </c>
      <c r="X46" s="8">
        <f t="shared" si="37"/>
        <v>7.7135153553960052</v>
      </c>
      <c r="Y46" s="9">
        <f t="shared" si="38"/>
        <v>0.57180371015794895</v>
      </c>
      <c r="Z46" s="11">
        <f t="shared" si="39"/>
        <v>20.908575659267441</v>
      </c>
      <c r="AA46" s="11">
        <f t="shared" si="40"/>
        <v>392.8614811819931</v>
      </c>
      <c r="AB46" s="8">
        <f t="shared" si="41"/>
        <v>3.0425984508867545</v>
      </c>
      <c r="AC46" s="9">
        <f t="shared" si="42"/>
        <v>-5.8138697654905716E-2</v>
      </c>
      <c r="AD46" s="11">
        <f t="shared" si="43"/>
        <v>-288.67801342249186</v>
      </c>
    </row>
    <row r="47" spans="1:30" x14ac:dyDescent="0.25">
      <c r="A47" s="1" t="s">
        <v>67</v>
      </c>
      <c r="B47" s="1">
        <f>J17</f>
        <v>45</v>
      </c>
      <c r="C47" s="1" t="s">
        <v>50</v>
      </c>
      <c r="E47" s="1" t="s">
        <v>74</v>
      </c>
      <c r="F47">
        <f>7*8</f>
        <v>56</v>
      </c>
      <c r="G47" t="s">
        <v>214</v>
      </c>
      <c r="I47" s="1"/>
      <c r="J47" s="1"/>
      <c r="O47" s="6">
        <f t="shared" si="15"/>
        <v>50</v>
      </c>
      <c r="P47" s="7">
        <f t="shared" si="30"/>
        <v>7.564296520423601E-2</v>
      </c>
      <c r="Q47" s="8">
        <f t="shared" si="31"/>
        <v>8.4740719718209938</v>
      </c>
      <c r="R47" s="9">
        <f t="shared" si="32"/>
        <v>0.30092085699527343</v>
      </c>
      <c r="S47" s="9">
        <f t="shared" si="33"/>
        <v>4.0216403343210888E-2</v>
      </c>
      <c r="T47" s="8">
        <f t="shared" si="34"/>
        <v>1.7039834818907575</v>
      </c>
      <c r="U47" s="8">
        <f t="shared" si="0"/>
        <v>2.6102399999999997</v>
      </c>
      <c r="V47" s="8">
        <f t="shared" si="35"/>
        <v>7.1078245751256722E-2</v>
      </c>
      <c r="W47" s="10">
        <f t="shared" si="36"/>
        <v>1.7799026277033598</v>
      </c>
      <c r="X47" s="8">
        <f t="shared" si="37"/>
        <v>7.4825402567003358</v>
      </c>
      <c r="Y47" s="9">
        <f t="shared" si="38"/>
        <v>0.56600153227687866</v>
      </c>
      <c r="Z47" s="11">
        <f t="shared" si="39"/>
        <v>21.908575659267441</v>
      </c>
      <c r="AA47" s="11">
        <f t="shared" si="40"/>
        <v>360.12977847303404</v>
      </c>
      <c r="AB47" s="8">
        <f t="shared" si="41"/>
        <v>3.168053364105325</v>
      </c>
      <c r="AC47" s="9">
        <f t="shared" si="42"/>
        <v>-7.3184570206009034E-2</v>
      </c>
      <c r="AD47" s="11">
        <f t="shared" si="43"/>
        <v>-370.80182237711244</v>
      </c>
    </row>
    <row r="48" spans="1:30" x14ac:dyDescent="0.25">
      <c r="A48" s="1" t="s">
        <v>64</v>
      </c>
      <c r="B48" s="1">
        <f>30*50/B47</f>
        <v>33.333333333333336</v>
      </c>
      <c r="C48" s="1" t="s">
        <v>65</v>
      </c>
      <c r="E48" s="1" t="s">
        <v>74</v>
      </c>
      <c r="F48">
        <v>60</v>
      </c>
      <c r="G48" t="s">
        <v>81</v>
      </c>
      <c r="I48" s="1"/>
      <c r="J48" s="1"/>
      <c r="O48" s="6">
        <f t="shared" si="15"/>
        <v>51</v>
      </c>
      <c r="P48" s="7">
        <f t="shared" si="30"/>
        <v>7.7155824508320731E-2</v>
      </c>
      <c r="Q48" s="8">
        <f t="shared" si="31"/>
        <v>8.8164244794825617</v>
      </c>
      <c r="R48" s="9">
        <f t="shared" si="32"/>
        <v>0.28923573336723707</v>
      </c>
      <c r="S48" s="9">
        <f t="shared" si="33"/>
        <v>3.985055638389836E-2</v>
      </c>
      <c r="T48" s="8">
        <f t="shared" si="34"/>
        <v>1.7566971041200077</v>
      </c>
      <c r="U48" s="8">
        <f t="shared" ref="U48:U68" si="44">$P$9*($G$34*O48^2+$G$35*O48+$G$36)</f>
        <v>2.5580799999999999</v>
      </c>
      <c r="V48" s="8">
        <f t="shared" si="35"/>
        <v>6.285294425584001E-2</v>
      </c>
      <c r="W48" s="10">
        <f t="shared" si="36"/>
        <v>1.8155006802574272</v>
      </c>
      <c r="X48" s="8">
        <f t="shared" si="37"/>
        <v>7.2580099153672775</v>
      </c>
      <c r="Y48" s="9">
        <f t="shared" si="38"/>
        <v>0.5599977393097294</v>
      </c>
      <c r="Z48" s="11">
        <f t="shared" si="39"/>
        <v>22.908575659267441</v>
      </c>
      <c r="AA48" s="11">
        <f t="shared" si="40"/>
        <v>324.82401591418113</v>
      </c>
      <c r="AB48" s="8">
        <f t="shared" si="41"/>
        <v>3.2960427200151807</v>
      </c>
      <c r="AC48" s="9">
        <f t="shared" si="42"/>
        <v>-8.8502964158632624E-2</v>
      </c>
      <c r="AD48" s="11">
        <f t="shared" si="43"/>
        <v>-457.38331877181344</v>
      </c>
    </row>
    <row r="49" spans="1:30" x14ac:dyDescent="0.25">
      <c r="A49" s="1" t="s">
        <v>68</v>
      </c>
      <c r="B49" s="1">
        <f>INT(600/B48)</f>
        <v>18</v>
      </c>
      <c r="C49" s="1" t="s">
        <v>69</v>
      </c>
      <c r="E49" s="1" t="s">
        <v>74</v>
      </c>
      <c r="F49">
        <v>23</v>
      </c>
      <c r="G49" t="s">
        <v>69</v>
      </c>
      <c r="I49" s="1"/>
      <c r="J49" s="1"/>
      <c r="O49" s="6">
        <f t="shared" si="15"/>
        <v>52</v>
      </c>
      <c r="P49" s="7">
        <f t="shared" si="30"/>
        <v>7.8668683812405452E-2</v>
      </c>
      <c r="Q49" s="8">
        <f t="shared" si="31"/>
        <v>9.1655562447215857</v>
      </c>
      <c r="R49" s="9">
        <f t="shared" si="32"/>
        <v>0.27821824796160638</v>
      </c>
      <c r="S49" s="9">
        <f t="shared" si="33"/>
        <v>3.9518881941079595E-2</v>
      </c>
      <c r="T49" s="8">
        <f t="shared" si="34"/>
        <v>1.8110626757973858</v>
      </c>
      <c r="U49" s="8">
        <f t="shared" si="44"/>
        <v>2.50528</v>
      </c>
      <c r="V49" s="8">
        <f t="shared" si="35"/>
        <v>5.4447883781736581E-2</v>
      </c>
      <c r="W49" s="10">
        <f t="shared" si="36"/>
        <v>1.8510987328114943</v>
      </c>
      <c r="X49" s="8">
        <f t="shared" si="37"/>
        <v>7.0401345963282553</v>
      </c>
      <c r="Y49" s="9">
        <f t="shared" si="38"/>
        <v>0.55383812255532416</v>
      </c>
      <c r="Z49" s="11">
        <f t="shared" si="39"/>
        <v>23.908575659267441</v>
      </c>
      <c r="AA49" s="11">
        <f t="shared" si="40"/>
        <v>286.90404894056394</v>
      </c>
      <c r="AB49" s="8">
        <f t="shared" si="41"/>
        <v>3.4265665186163199</v>
      </c>
      <c r="AC49" s="9">
        <f t="shared" si="42"/>
        <v>-0.1040938795127764</v>
      </c>
      <c r="AD49" s="11">
        <f t="shared" si="43"/>
        <v>-548.50534911265652</v>
      </c>
    </row>
    <row r="50" spans="1:30" x14ac:dyDescent="0.25">
      <c r="I50" s="1"/>
      <c r="J50" s="1"/>
      <c r="O50" s="6">
        <f t="shared" si="15"/>
        <v>53</v>
      </c>
      <c r="P50" s="7">
        <f t="shared" si="30"/>
        <v>8.0181543116490173E-2</v>
      </c>
      <c r="Q50" s="8">
        <f t="shared" si="31"/>
        <v>9.5214672675380694</v>
      </c>
      <c r="R50" s="9">
        <f t="shared" si="32"/>
        <v>0.26781849145182751</v>
      </c>
      <c r="S50" s="9">
        <f t="shared" si="33"/>
        <v>3.9217620247757448E-2</v>
      </c>
      <c r="T50" s="8">
        <f t="shared" si="34"/>
        <v>1.8670464374988038</v>
      </c>
      <c r="U50" s="8">
        <f t="shared" si="44"/>
        <v>2.4518399999999998</v>
      </c>
      <c r="V50" s="8">
        <f t="shared" si="35"/>
        <v>4.5865712100955552E-2</v>
      </c>
      <c r="W50" s="10">
        <f t="shared" si="36"/>
        <v>1.8866967853655616</v>
      </c>
      <c r="X50" s="8">
        <f t="shared" si="37"/>
        <v>6.8290347491735419</v>
      </c>
      <c r="Y50" s="9">
        <f t="shared" si="38"/>
        <v>0.54756254418486805</v>
      </c>
      <c r="Z50" s="11">
        <f t="shared" si="39"/>
        <v>24.908575659267441</v>
      </c>
      <c r="AA50" s="11">
        <f t="shared" si="40"/>
        <v>246.32945112353195</v>
      </c>
      <c r="AB50" s="8">
        <f t="shared" si="41"/>
        <v>3.5596247599087443</v>
      </c>
      <c r="AC50" s="9">
        <f t="shared" si="42"/>
        <v>-0.11995731626844057</v>
      </c>
      <c r="AD50" s="11">
        <f t="shared" si="43"/>
        <v>-644.25075990570474</v>
      </c>
    </row>
    <row r="51" spans="1:30" x14ac:dyDescent="0.25">
      <c r="A51" s="1" t="s">
        <v>70</v>
      </c>
      <c r="B51" s="1">
        <f>12*U13</f>
        <v>65.726706900619931</v>
      </c>
      <c r="C51" s="1" t="s">
        <v>73</v>
      </c>
      <c r="I51" s="1"/>
      <c r="J51" s="1"/>
      <c r="O51" s="6">
        <f t="shared" si="15"/>
        <v>54</v>
      </c>
      <c r="P51" s="7">
        <f t="shared" si="30"/>
        <v>8.169440242057488E-2</v>
      </c>
      <c r="Q51" s="8">
        <f t="shared" si="31"/>
        <v>9.8841575479320039</v>
      </c>
      <c r="R51" s="9">
        <f t="shared" si="32"/>
        <v>0.25799113254052941</v>
      </c>
      <c r="S51" s="9">
        <f t="shared" si="33"/>
        <v>3.8943485413202375E-2</v>
      </c>
      <c r="T51" s="8">
        <f t="shared" si="34"/>
        <v>1.9246177264484208</v>
      </c>
      <c r="U51" s="8">
        <f t="shared" si="44"/>
        <v>2.3977599999999994</v>
      </c>
      <c r="V51" s="8">
        <f t="shared" si="35"/>
        <v>3.7108834113514858E-2</v>
      </c>
      <c r="W51" s="10">
        <f t="shared" si="36"/>
        <v>1.9222948379196285</v>
      </c>
      <c r="X51" s="8">
        <f t="shared" si="37"/>
        <v>6.6247571269793664</v>
      </c>
      <c r="Y51" s="9">
        <f t="shared" si="38"/>
        <v>0.54120557467002384</v>
      </c>
      <c r="Z51" s="11">
        <f t="shared" si="39"/>
        <v>25.908575659267441</v>
      </c>
      <c r="AA51" s="11">
        <f t="shared" si="40"/>
        <v>203.0595402691533</v>
      </c>
      <c r="AB51" s="8">
        <f t="shared" si="41"/>
        <v>3.6952174438924508</v>
      </c>
      <c r="AC51" s="9">
        <f t="shared" si="42"/>
        <v>-0.13609327442562483</v>
      </c>
      <c r="AD51" s="11">
        <f t="shared" si="43"/>
        <v>-744.70239765701911</v>
      </c>
    </row>
    <row r="52" spans="1:30" x14ac:dyDescent="0.25">
      <c r="I52" s="1"/>
      <c r="J52" s="1"/>
      <c r="O52" s="6">
        <f t="shared" si="15"/>
        <v>55</v>
      </c>
      <c r="P52" s="7">
        <f t="shared" si="30"/>
        <v>8.3207261724659601E-2</v>
      </c>
      <c r="Q52" s="8">
        <f t="shared" si="31"/>
        <v>10.2536270859034</v>
      </c>
      <c r="R52" s="9">
        <f t="shared" si="32"/>
        <v>0.24869492313658967</v>
      </c>
      <c r="S52" s="9">
        <f t="shared" si="33"/>
        <v>3.869359837632802E-2</v>
      </c>
      <c r="T52" s="8">
        <f t="shared" si="34"/>
        <v>1.983748641812924</v>
      </c>
      <c r="U52" s="8">
        <f t="shared" si="44"/>
        <v>2.3430399999999998</v>
      </c>
      <c r="V52" s="8">
        <f t="shared" si="35"/>
        <v>2.817943809861282E-2</v>
      </c>
      <c r="W52" s="10">
        <f t="shared" si="36"/>
        <v>1.9578928904736956</v>
      </c>
      <c r="X52" s="8">
        <f t="shared" si="37"/>
        <v>6.4272885844790366</v>
      </c>
      <c r="Y52" s="9">
        <f t="shared" si="38"/>
        <v>0.53479708342866417</v>
      </c>
      <c r="Z52" s="11">
        <f t="shared" si="39"/>
        <v>26.908575659267441</v>
      </c>
      <c r="AA52" s="11">
        <f t="shared" si="40"/>
        <v>157.0534016696021</v>
      </c>
      <c r="AB52" s="8">
        <f t="shared" si="41"/>
        <v>3.8333445705674429</v>
      </c>
      <c r="AC52" s="9">
        <f t="shared" si="42"/>
        <v>-0.15250175398432933</v>
      </c>
      <c r="AD52" s="11">
        <f t="shared" si="43"/>
        <v>-849.94310887266215</v>
      </c>
    </row>
    <row r="53" spans="1:30" x14ac:dyDescent="0.25">
      <c r="A53" s="1" t="s">
        <v>75</v>
      </c>
      <c r="B53" s="1">
        <v>1</v>
      </c>
      <c r="H53" s="1"/>
      <c r="I53" s="1"/>
      <c r="J53" s="1"/>
      <c r="O53" s="6">
        <f t="shared" si="15"/>
        <v>56</v>
      </c>
      <c r="P53" s="7">
        <f t="shared" si="30"/>
        <v>8.4720121028744322E-2</v>
      </c>
      <c r="Q53" s="8">
        <f t="shared" si="31"/>
        <v>10.629875881452252</v>
      </c>
      <c r="R53" s="9">
        <f t="shared" si="32"/>
        <v>0.23989226482403819</v>
      </c>
      <c r="S53" s="9">
        <f t="shared" si="33"/>
        <v>3.8465430344709124E-2</v>
      </c>
      <c r="T53" s="8">
        <f t="shared" si="34"/>
        <v>2.0444137514545253</v>
      </c>
      <c r="U53" s="8">
        <f t="shared" si="44"/>
        <v>2.2876799999999995</v>
      </c>
      <c r="V53" s="8">
        <f t="shared" si="35"/>
        <v>1.9079518714167444E-2</v>
      </c>
      <c r="W53" s="10">
        <f t="shared" si="36"/>
        <v>1.9934909430277628</v>
      </c>
      <c r="X53" s="8">
        <f t="shared" si="37"/>
        <v>6.2365678135987652</v>
      </c>
      <c r="Y53" s="9">
        <f t="shared" si="38"/>
        <v>0.52836277997205872</v>
      </c>
      <c r="Z53" s="11">
        <f t="shared" si="39"/>
        <v>27.908575659267441</v>
      </c>
      <c r="AA53" s="11">
        <f t="shared" si="40"/>
        <v>108.26990886332885</v>
      </c>
      <c r="AB53" s="8">
        <f t="shared" si="41"/>
        <v>3.974006139933719</v>
      </c>
      <c r="AC53" s="9">
        <f t="shared" si="42"/>
        <v>-0.16918275494455418</v>
      </c>
      <c r="AD53" s="11">
        <f t="shared" si="43"/>
        <v>-960.05574005869676</v>
      </c>
    </row>
    <row r="54" spans="1:30" x14ac:dyDescent="0.25">
      <c r="A54" s="1" t="s">
        <v>76</v>
      </c>
      <c r="B54" s="1">
        <f>2*((B31/B45)/(F44/F45))</f>
        <v>5.2</v>
      </c>
      <c r="I54" s="1"/>
      <c r="J54" s="1"/>
      <c r="O54" s="6">
        <f t="shared" si="15"/>
        <v>57</v>
      </c>
      <c r="P54" s="7">
        <f t="shared" si="30"/>
        <v>8.6232980332829043E-2</v>
      </c>
      <c r="Q54" s="8">
        <f t="shared" si="31"/>
        <v>11.012903934578562</v>
      </c>
      <c r="R54" s="9">
        <f t="shared" si="32"/>
        <v>0.23154882809731725</v>
      </c>
      <c r="S54" s="9">
        <f t="shared" si="33"/>
        <v>3.8256754928400201E-2</v>
      </c>
      <c r="T54" s="8">
        <f t="shared" si="34"/>
        <v>2.1065898343759319</v>
      </c>
      <c r="U54" s="8">
        <f t="shared" si="44"/>
        <v>2.2316799999999999</v>
      </c>
      <c r="V54" s="8">
        <f t="shared" si="35"/>
        <v>9.8108971970131999E-3</v>
      </c>
      <c r="W54" s="10">
        <f t="shared" si="36"/>
        <v>2.0290889955818301</v>
      </c>
      <c r="X54" s="8">
        <f t="shared" si="37"/>
        <v>6.0524952660170657</v>
      </c>
      <c r="Y54" s="9">
        <f t="shared" si="38"/>
        <v>0.52192470523899048</v>
      </c>
      <c r="Z54" s="11">
        <f t="shared" si="39"/>
        <v>28.908575659267441</v>
      </c>
      <c r="AA54" s="11">
        <f t="shared" si="40"/>
        <v>56.667742209948251</v>
      </c>
      <c r="AB54" s="8">
        <f t="shared" si="41"/>
        <v>4.1172021519912798</v>
      </c>
      <c r="AC54" s="9">
        <f t="shared" si="42"/>
        <v>-0.18613627730629922</v>
      </c>
      <c r="AD54" s="11">
        <f t="shared" si="43"/>
        <v>-1075.1231377211843</v>
      </c>
    </row>
    <row r="55" spans="1:30" x14ac:dyDescent="0.25">
      <c r="A55" s="1" t="s">
        <v>77</v>
      </c>
      <c r="B55" s="1">
        <f>4*((B31*B33*B34*B49)/(F48*F47*F49))</f>
        <v>1.5503105590062112</v>
      </c>
      <c r="I55" s="1"/>
      <c r="J55" s="1"/>
      <c r="O55" s="6">
        <f t="shared" si="15"/>
        <v>58</v>
      </c>
      <c r="P55" s="7">
        <f t="shared" si="30"/>
        <v>8.7745839636913764E-2</v>
      </c>
      <c r="Q55" s="8">
        <f t="shared" si="31"/>
        <v>11.402711245282328</v>
      </c>
      <c r="R55" s="9">
        <f t="shared" si="32"/>
        <v>0.22363321714868717</v>
      </c>
      <c r="S55" s="9">
        <f t="shared" si="33"/>
        <v>3.8065607508483951E-2</v>
      </c>
      <c r="T55" s="8">
        <f t="shared" si="34"/>
        <v>2.1702556539774669</v>
      </c>
      <c r="U55" s="8">
        <f t="shared" si="44"/>
        <v>2.1750400000000001</v>
      </c>
      <c r="V55" s="8">
        <f t="shared" si="35"/>
        <v>3.7523914648155939E-4</v>
      </c>
      <c r="W55" s="10">
        <f t="shared" si="36"/>
        <v>2.0646870481358972</v>
      </c>
      <c r="X55" s="8">
        <f t="shared" si="37"/>
        <v>5.874941496699992</v>
      </c>
      <c r="Y55" s="9">
        <f t="shared" si="38"/>
        <v>0.51550167444568762</v>
      </c>
      <c r="Z55" s="11">
        <f t="shared" si="39"/>
        <v>29.908575659267441</v>
      </c>
      <c r="AA55" s="11">
        <f t="shared" si="40"/>
        <v>2.2054055435876183</v>
      </c>
      <c r="AB55" s="8">
        <f t="shared" si="41"/>
        <v>4.262932606740125</v>
      </c>
      <c r="AC55" s="9">
        <f t="shared" si="42"/>
        <v>-0.20336232106956451</v>
      </c>
      <c r="AD55" s="11">
        <f t="shared" si="43"/>
        <v>-1195.228148366187</v>
      </c>
    </row>
    <row r="56" spans="1:30" x14ac:dyDescent="0.25">
      <c r="I56" s="1"/>
      <c r="J56" s="1"/>
      <c r="O56" s="6">
        <f t="shared" si="15"/>
        <v>59</v>
      </c>
      <c r="P56" s="7">
        <f t="shared" si="30"/>
        <v>8.9258698940998485E-2</v>
      </c>
      <c r="Q56" s="8">
        <f t="shared" si="31"/>
        <v>11.799297813563552</v>
      </c>
      <c r="R56" s="9">
        <f t="shared" si="32"/>
        <v>0.21611667408451124</v>
      </c>
      <c r="S56" s="9">
        <f t="shared" si="33"/>
        <v>3.7890250645506399E-2</v>
      </c>
      <c r="T56" s="8">
        <f t="shared" si="34"/>
        <v>2.2353917579844933</v>
      </c>
      <c r="U56" s="8">
        <f t="shared" si="44"/>
        <v>2.1177600000000001</v>
      </c>
      <c r="V56" s="8">
        <f t="shared" si="35"/>
        <v>-9.2259297837859015E-3</v>
      </c>
      <c r="W56" s="10">
        <f t="shared" si="36"/>
        <v>2.1002851006899643</v>
      </c>
      <c r="X56" s="8">
        <f t="shared" si="37"/>
        <v>5.7037541426277594</v>
      </c>
      <c r="Y56" s="9">
        <f t="shared" si="38"/>
        <v>0.50910967385028416</v>
      </c>
      <c r="Z56" s="11">
        <f t="shared" si="39"/>
        <v>30.908575659267441</v>
      </c>
      <c r="AA56" s="11">
        <f t="shared" si="40"/>
        <v>-55.158758867327983</v>
      </c>
      <c r="AB56" s="8">
        <f t="shared" si="41"/>
        <v>4.4111975041802536</v>
      </c>
      <c r="AC56" s="9">
        <f t="shared" si="42"/>
        <v>-0.22086088623435013</v>
      </c>
      <c r="AD56" s="11">
        <f t="shared" si="43"/>
        <v>-1320.453618499768</v>
      </c>
    </row>
    <row r="57" spans="1:30" x14ac:dyDescent="0.25">
      <c r="A57" s="1" t="s">
        <v>78</v>
      </c>
      <c r="B57" s="1">
        <f>(B29+B30)*B51</f>
        <v>437.73986795812874</v>
      </c>
      <c r="I57" s="1"/>
      <c r="J57" s="1"/>
      <c r="O57" s="6">
        <f t="shared" si="15"/>
        <v>60</v>
      </c>
      <c r="P57" s="7">
        <f t="shared" si="30"/>
        <v>9.0771558245083206E-2</v>
      </c>
      <c r="Q57" s="8">
        <f t="shared" si="31"/>
        <v>12.202663639422228</v>
      </c>
      <c r="R57" s="9">
        <f t="shared" si="32"/>
        <v>0.20897281735782883</v>
      </c>
      <c r="S57" s="9">
        <f t="shared" si="33"/>
        <v>3.7729144546480888E-2</v>
      </c>
      <c r="T57" s="8">
        <f t="shared" si="34"/>
        <v>2.3019803015192388</v>
      </c>
      <c r="U57" s="8">
        <f t="shared" si="44"/>
        <v>2.0598399999999999</v>
      </c>
      <c r="V57" s="8">
        <f t="shared" si="35"/>
        <v>-1.8991210009253943E-2</v>
      </c>
      <c r="W57" s="10">
        <f t="shared" si="36"/>
        <v>2.1358831532440319</v>
      </c>
      <c r="X57" s="8">
        <f t="shared" si="37"/>
        <v>5.538763729466015</v>
      </c>
      <c r="Y57" s="9">
        <f t="shared" si="38"/>
        <v>0.50276221447497871</v>
      </c>
      <c r="Z57" s="11">
        <f t="shared" si="39"/>
        <v>31.908575659267441</v>
      </c>
      <c r="AA57" s="11">
        <f t="shared" si="40"/>
        <v>-115.46655685626398</v>
      </c>
      <c r="AB57" s="8">
        <f t="shared" si="41"/>
        <v>4.5619968443116683</v>
      </c>
      <c r="AC57" s="9">
        <f t="shared" si="42"/>
        <v>-0.23863197280065582</v>
      </c>
      <c r="AD57" s="11">
        <f t="shared" si="43"/>
        <v>-1450.8823946279874</v>
      </c>
    </row>
    <row r="58" spans="1:30" x14ac:dyDescent="0.25">
      <c r="A58" s="1" t="s">
        <v>80</v>
      </c>
      <c r="B58" s="1">
        <v>90</v>
      </c>
      <c r="I58" s="1"/>
      <c r="J58" s="1"/>
      <c r="O58" s="6">
        <f t="shared" si="15"/>
        <v>61</v>
      </c>
      <c r="P58" s="7">
        <f t="shared" si="30"/>
        <v>9.2284417549167927E-2</v>
      </c>
      <c r="Q58" s="8">
        <f t="shared" si="31"/>
        <v>12.612808722858366</v>
      </c>
      <c r="R58" s="9">
        <f t="shared" si="32"/>
        <v>0.20217740996726247</v>
      </c>
      <c r="S58" s="9">
        <f t="shared" si="33"/>
        <v>3.7580921781709783E-2</v>
      </c>
      <c r="T58" s="8">
        <f t="shared" si="34"/>
        <v>2.3700048903070354</v>
      </c>
      <c r="U58" s="8">
        <f t="shared" si="44"/>
        <v>2.0012799999999999</v>
      </c>
      <c r="V58" s="8">
        <f t="shared" si="35"/>
        <v>-2.8919315717064378E-2</v>
      </c>
      <c r="W58" s="10">
        <f t="shared" si="36"/>
        <v>2.171481205798099</v>
      </c>
      <c r="X58" s="8">
        <f t="shared" si="37"/>
        <v>5.3797884772922195</v>
      </c>
      <c r="Y58" s="9">
        <f t="shared" si="38"/>
        <v>0.49647064616463749</v>
      </c>
      <c r="Z58" s="11">
        <f t="shared" si="39"/>
        <v>32.908575659267441</v>
      </c>
      <c r="AA58" s="11">
        <f t="shared" si="40"/>
        <v>-178.75993021908059</v>
      </c>
      <c r="AB58" s="8">
        <f t="shared" si="41"/>
        <v>4.7153306271343656</v>
      </c>
      <c r="AC58" s="9">
        <f t="shared" si="42"/>
        <v>-0.2566755807684819</v>
      </c>
      <c r="AD58" s="11">
        <f t="shared" si="43"/>
        <v>-1586.5973232569095</v>
      </c>
    </row>
    <row r="59" spans="1:30" x14ac:dyDescent="0.25">
      <c r="A59" s="1" t="s">
        <v>79</v>
      </c>
      <c r="B59" s="1">
        <f>B58*(B55+B54+B53)/B57*penalty</f>
        <v>0.15934759462605763</v>
      </c>
      <c r="I59" s="1"/>
      <c r="J59" s="1"/>
      <c r="O59" s="6">
        <f t="shared" si="15"/>
        <v>62</v>
      </c>
      <c r="P59" s="7">
        <f t="shared" si="30"/>
        <v>9.3797276853252648E-2</v>
      </c>
      <c r="Q59" s="8">
        <f t="shared" si="31"/>
        <v>13.029733063871957</v>
      </c>
      <c r="R59" s="9">
        <f t="shared" si="32"/>
        <v>0.19570815361295105</v>
      </c>
      <c r="S59" s="9">
        <f t="shared" si="33"/>
        <v>3.7444365582656902E-2</v>
      </c>
      <c r="T59" s="8">
        <f t="shared" si="34"/>
        <v>2.4394504414402687</v>
      </c>
      <c r="U59" s="8">
        <f t="shared" si="44"/>
        <v>1.94208</v>
      </c>
      <c r="V59" s="8">
        <f t="shared" si="35"/>
        <v>-3.9009063945668658E-2</v>
      </c>
      <c r="W59" s="10">
        <f t="shared" si="36"/>
        <v>2.2070792583521661</v>
      </c>
      <c r="X59" s="8">
        <f t="shared" si="37"/>
        <v>5.2266382556524649</v>
      </c>
      <c r="Y59" s="9">
        <f t="shared" si="38"/>
        <v>0.49024443547723573</v>
      </c>
      <c r="Z59" s="11">
        <f t="shared" si="39"/>
        <v>33.908575659267441</v>
      </c>
      <c r="AA59" s="11">
        <f t="shared" si="40"/>
        <v>-245.08094574932096</v>
      </c>
      <c r="AB59" s="8">
        <f t="shared" si="41"/>
        <v>4.8711988526483481</v>
      </c>
      <c r="AC59" s="9">
        <f t="shared" si="42"/>
        <v>-0.27499171013782814</v>
      </c>
      <c r="AD59" s="11">
        <f t="shared" si="43"/>
        <v>-1727.681250892595</v>
      </c>
    </row>
    <row r="60" spans="1:30" x14ac:dyDescent="0.25">
      <c r="I60" s="1"/>
      <c r="J60" s="1"/>
      <c r="O60" s="6">
        <f t="shared" si="15"/>
        <v>63</v>
      </c>
      <c r="P60" s="7">
        <f t="shared" si="30"/>
        <v>9.5310136157337369E-2</v>
      </c>
      <c r="Q60" s="8">
        <f t="shared" si="31"/>
        <v>13.453436662463009</v>
      </c>
      <c r="R60" s="9">
        <f t="shared" si="32"/>
        <v>0.18954450553998076</v>
      </c>
      <c r="S60" s="9">
        <f t="shared" si="33"/>
        <v>3.7318391166067E-2</v>
      </c>
      <c r="T60" s="8">
        <f t="shared" si="34"/>
        <v>2.5103030594885074</v>
      </c>
      <c r="U60" s="8">
        <f t="shared" si="44"/>
        <v>1.8822399999999995</v>
      </c>
      <c r="V60" s="8">
        <f t="shared" si="35"/>
        <v>-4.9259364868070539E-2</v>
      </c>
      <c r="W60" s="10">
        <f t="shared" si="36"/>
        <v>2.2426773109062332</v>
      </c>
      <c r="X60" s="8">
        <f t="shared" si="37"/>
        <v>5.0791178187855657</v>
      </c>
      <c r="Y60" s="9">
        <f t="shared" si="38"/>
        <v>0.48409141086761065</v>
      </c>
      <c r="Z60" s="11">
        <f t="shared" si="39"/>
        <v>34.908575659267441</v>
      </c>
      <c r="AA60" s="11">
        <f t="shared" si="40"/>
        <v>-314.47178531776234</v>
      </c>
      <c r="AB60" s="8">
        <f t="shared" si="41"/>
        <v>5.0296015208536131</v>
      </c>
      <c r="AC60" s="9">
        <f t="shared" si="42"/>
        <v>-0.29358036090869472</v>
      </c>
      <c r="AD60" s="11">
        <f t="shared" si="43"/>
        <v>-1874.2170240411069</v>
      </c>
    </row>
    <row r="61" spans="1:30" x14ac:dyDescent="0.25">
      <c r="I61" s="1"/>
      <c r="J61" s="1"/>
      <c r="O61" s="6">
        <f t="shared" si="15"/>
        <v>64</v>
      </c>
      <c r="P61" s="7">
        <f t="shared" si="30"/>
        <v>9.682299546142209E-2</v>
      </c>
      <c r="Q61" s="8">
        <f t="shared" si="31"/>
        <v>13.883919518631515</v>
      </c>
      <c r="R61" s="9">
        <f t="shared" si="32"/>
        <v>0.18366751525590422</v>
      </c>
      <c r="S61" s="9">
        <f t="shared" si="33"/>
        <v>3.7202029622630757E-2</v>
      </c>
      <c r="T61" s="8">
        <f t="shared" si="34"/>
        <v>2.5825499260517546</v>
      </c>
      <c r="U61" s="8">
        <f t="shared" si="44"/>
        <v>1.8217599999999998</v>
      </c>
      <c r="V61" s="8">
        <f t="shared" si="35"/>
        <v>-5.9669213129420674E-2</v>
      </c>
      <c r="W61" s="10">
        <f t="shared" si="36"/>
        <v>2.2782753634603008</v>
      </c>
      <c r="X61" s="8">
        <f t="shared" si="37"/>
        <v>4.937029434119248</v>
      </c>
      <c r="Y61" s="9">
        <f t="shared" si="38"/>
        <v>0.47801797849263522</v>
      </c>
      <c r="Z61" s="11">
        <f t="shared" si="39"/>
        <v>35.908575659267441</v>
      </c>
      <c r="AA61" s="11">
        <f t="shared" si="40"/>
        <v>-386.9747368820029</v>
      </c>
      <c r="AB61" s="8">
        <f t="shared" si="41"/>
        <v>5.1905386317501661</v>
      </c>
      <c r="AC61" s="9">
        <f t="shared" si="42"/>
        <v>-0.31244153308108147</v>
      </c>
      <c r="AD61" s="11">
        <f t="shared" si="43"/>
        <v>-2026.2874892085069</v>
      </c>
    </row>
    <row r="62" spans="1:30" x14ac:dyDescent="0.25">
      <c r="I62" s="1"/>
      <c r="J62" s="1"/>
      <c r="O62" s="6">
        <f t="shared" si="15"/>
        <v>65</v>
      </c>
      <c r="P62" s="7">
        <f t="shared" si="30"/>
        <v>9.8335854765506811E-2</v>
      </c>
      <c r="Q62" s="8">
        <f t="shared" si="31"/>
        <v>14.321181632377479</v>
      </c>
      <c r="R62" s="9">
        <f t="shared" si="32"/>
        <v>0.17805967869542808</v>
      </c>
      <c r="S62" s="9">
        <f t="shared" si="33"/>
        <v>3.7094413984808713E-2</v>
      </c>
      <c r="T62" s="8">
        <f t="shared" si="34"/>
        <v>2.6561792011152443</v>
      </c>
      <c r="U62" s="8">
        <f t="shared" si="44"/>
        <v>1.7606399999999998</v>
      </c>
      <c r="V62" s="8">
        <f t="shared" si="35"/>
        <v>-7.0237680110214168E-2</v>
      </c>
      <c r="W62" s="10">
        <f t="shared" si="36"/>
        <v>2.3138734160143679</v>
      </c>
      <c r="X62" s="8">
        <f t="shared" si="37"/>
        <v>4.8001750012373536</v>
      </c>
      <c r="Y62" s="9">
        <f t="shared" si="38"/>
        <v>0.47202931177069291</v>
      </c>
      <c r="Z62" s="11">
        <f t="shared" si="39"/>
        <v>36.908575659267441</v>
      </c>
      <c r="AA62" s="11">
        <f t="shared" si="40"/>
        <v>-462.63218632594396</v>
      </c>
      <c r="AB62" s="8">
        <f t="shared" si="41"/>
        <v>5.3540101853379998</v>
      </c>
      <c r="AC62" s="9">
        <f t="shared" si="42"/>
        <v>-0.33157522665498862</v>
      </c>
      <c r="AD62" s="11">
        <f t="shared" si="43"/>
        <v>-2183.9754929008582</v>
      </c>
    </row>
    <row r="63" spans="1:30" x14ac:dyDescent="0.25">
      <c r="I63" s="1"/>
      <c r="J63" s="1"/>
      <c r="O63" s="6">
        <f t="shared" si="15"/>
        <v>66</v>
      </c>
      <c r="P63" s="7">
        <f t="shared" si="30"/>
        <v>9.9848714069591532E-2</v>
      </c>
      <c r="Q63" s="8">
        <f t="shared" si="31"/>
        <v>14.765223003700898</v>
      </c>
      <c r="R63" s="9">
        <f t="shared" si="32"/>
        <v>0.1727048077337428</v>
      </c>
      <c r="S63" s="9">
        <f t="shared" si="33"/>
        <v>3.699476715118629E-2</v>
      </c>
      <c r="T63" s="8">
        <f t="shared" si="34"/>
        <v>2.7311799347862706</v>
      </c>
      <c r="U63" s="8">
        <f t="shared" si="44"/>
        <v>1.6988799999999999</v>
      </c>
      <c r="V63" s="8">
        <f t="shared" si="35"/>
        <v>-8.0963907003756483E-2</v>
      </c>
      <c r="W63" s="10">
        <f t="shared" si="36"/>
        <v>2.349471468568435</v>
      </c>
      <c r="X63" s="8">
        <f t="shared" si="37"/>
        <v>4.6683577444331821</v>
      </c>
      <c r="Y63" s="9">
        <f t="shared" si="38"/>
        <v>0.46612951759847204</v>
      </c>
      <c r="Z63" s="11">
        <f t="shared" si="39"/>
        <v>37.908575659267441</v>
      </c>
      <c r="AA63" s="11">
        <f t="shared" si="40"/>
        <v>-541.48661004112341</v>
      </c>
      <c r="AB63" s="8">
        <f t="shared" si="41"/>
        <v>5.5200161816171187</v>
      </c>
      <c r="AC63" s="9">
        <f t="shared" si="42"/>
        <v>-0.35098144163041578</v>
      </c>
      <c r="AD63" s="11">
        <f t="shared" si="43"/>
        <v>-2347.363881624221</v>
      </c>
    </row>
    <row r="64" spans="1:30" x14ac:dyDescent="0.25">
      <c r="I64" s="1"/>
      <c r="J64" s="1"/>
      <c r="O64" s="6">
        <f t="shared" si="15"/>
        <v>67</v>
      </c>
      <c r="P64" s="7">
        <f t="shared" si="30"/>
        <v>0.10136157337367625</v>
      </c>
      <c r="Q64" s="8">
        <f t="shared" si="31"/>
        <v>15.216043632601776</v>
      </c>
      <c r="R64" s="9">
        <f t="shared" si="32"/>
        <v>0.16758791322971342</v>
      </c>
      <c r="S64" s="9">
        <f t="shared" si="33"/>
        <v>3.6902391396505016E-2</v>
      </c>
      <c r="T64" s="8">
        <f t="shared" si="34"/>
        <v>2.8075419881828436</v>
      </c>
      <c r="U64" s="8">
        <f t="shared" si="44"/>
        <v>1.6364799999999997</v>
      </c>
      <c r="V64" s="8">
        <f t="shared" si="35"/>
        <v>-9.184709861141313E-2</v>
      </c>
      <c r="W64" s="10">
        <f t="shared" si="36"/>
        <v>2.3850695211225021</v>
      </c>
      <c r="X64" s="8">
        <f t="shared" si="37"/>
        <v>4.5413835496196455</v>
      </c>
      <c r="Y64" s="9">
        <f t="shared" si="38"/>
        <v>0.460321781882778</v>
      </c>
      <c r="Z64" s="11">
        <f t="shared" si="39"/>
        <v>38.908575659267441</v>
      </c>
      <c r="AA64" s="11">
        <f t="shared" si="40"/>
        <v>-623.58056817242095</v>
      </c>
      <c r="AB64" s="8">
        <f t="shared" si="41"/>
        <v>5.688556620587522</v>
      </c>
      <c r="AC64" s="9">
        <f t="shared" si="42"/>
        <v>-0.37066017800736328</v>
      </c>
      <c r="AD64" s="11">
        <f t="shared" si="43"/>
        <v>-2516.5355018846585</v>
      </c>
    </row>
    <row r="65" spans="9:30" x14ac:dyDescent="0.25">
      <c r="I65" s="1"/>
      <c r="J65" s="1"/>
      <c r="O65" s="6">
        <f t="shared" si="15"/>
        <v>68</v>
      </c>
      <c r="P65" s="7">
        <f t="shared" si="30"/>
        <v>0.10287443267776097</v>
      </c>
      <c r="Q65" s="8">
        <f t="shared" si="31"/>
        <v>15.673643519080109</v>
      </c>
      <c r="R65" s="9">
        <f t="shared" si="32"/>
        <v>0.16269510001907087</v>
      </c>
      <c r="S65" s="9">
        <f t="shared" si="33"/>
        <v>3.681665923935494E-2</v>
      </c>
      <c r="T65" s="8">
        <f t="shared" si="34"/>
        <v>2.8852559624054819</v>
      </c>
      <c r="U65" s="8">
        <f t="shared" si="44"/>
        <v>1.5734399999999997</v>
      </c>
      <c r="V65" s="8">
        <f t="shared" si="35"/>
        <v>-0.10288651777182437</v>
      </c>
      <c r="W65" s="10">
        <f t="shared" si="36"/>
        <v>2.4206675736765693</v>
      </c>
      <c r="X65" s="8">
        <f t="shared" si="37"/>
        <v>4.4190620056357242</v>
      </c>
      <c r="Y65" s="9">
        <f t="shared" si="38"/>
        <v>0.45460849679762372</v>
      </c>
      <c r="Z65" s="11">
        <f t="shared" si="39"/>
        <v>39.908575659267441</v>
      </c>
      <c r="AA65" s="11">
        <f t="shared" si="40"/>
        <v>-708.9566984597177</v>
      </c>
      <c r="AB65" s="8">
        <f t="shared" si="41"/>
        <v>5.8596315022492087</v>
      </c>
      <c r="AC65" s="9">
        <f t="shared" si="42"/>
        <v>-0.39061143578583102</v>
      </c>
      <c r="AD65" s="11">
        <f t="shared" si="43"/>
        <v>-2691.5732001882334</v>
      </c>
    </row>
    <row r="66" spans="9:30" x14ac:dyDescent="0.25">
      <c r="I66" s="1"/>
      <c r="J66" s="1"/>
      <c r="O66" s="6">
        <f t="shared" si="15"/>
        <v>69</v>
      </c>
      <c r="P66" s="7">
        <f t="shared" si="30"/>
        <v>0.1043872919818457</v>
      </c>
      <c r="Q66" s="8">
        <f t="shared" si="31"/>
        <v>16.138022663135899</v>
      </c>
      <c r="R66" s="9">
        <f t="shared" si="32"/>
        <v>0.1580134724822902</v>
      </c>
      <c r="S66" s="9">
        <f t="shared" si="33"/>
        <v>3.6737005475067135E-2</v>
      </c>
      <c r="T66" s="8">
        <f t="shared" si="34"/>
        <v>2.9643131346619049</v>
      </c>
      <c r="U66" s="8">
        <f t="shared" si="44"/>
        <v>1.50976</v>
      </c>
      <c r="V66" s="8">
        <f t="shared" si="35"/>
        <v>-0.11408148035112635</v>
      </c>
      <c r="W66" s="10">
        <f t="shared" si="36"/>
        <v>2.4562656262306368</v>
      </c>
      <c r="X66" s="8">
        <f t="shared" si="37"/>
        <v>4.3012072007211266</v>
      </c>
      <c r="Y66" s="9">
        <f t="shared" si="38"/>
        <v>0.44899137193609345</v>
      </c>
      <c r="Z66" s="11">
        <f t="shared" si="39"/>
        <v>40.908575659267441</v>
      </c>
      <c r="AA66" s="11">
        <f t="shared" si="40"/>
        <v>-797.65771061507542</v>
      </c>
      <c r="AB66" s="8">
        <f t="shared" si="41"/>
        <v>6.0332408266021824</v>
      </c>
      <c r="AC66" s="9">
        <f t="shared" si="42"/>
        <v>-0.41083521496581898</v>
      </c>
      <c r="AD66" s="11">
        <f t="shared" si="43"/>
        <v>-2872.559823041006</v>
      </c>
    </row>
    <row r="67" spans="9:30" x14ac:dyDescent="0.25">
      <c r="I67" s="1"/>
      <c r="J67" s="1"/>
      <c r="O67" s="6">
        <f t="shared" si="15"/>
        <v>70</v>
      </c>
      <c r="P67" s="7">
        <f t="shared" si="13"/>
        <v>0.1059001512859304</v>
      </c>
      <c r="Q67" s="8">
        <f t="shared" si="14"/>
        <v>16.609181064769146</v>
      </c>
      <c r="R67" s="9">
        <f t="shared" si="4"/>
        <v>0.15353104948738444</v>
      </c>
      <c r="S67" s="9">
        <f t="shared" si="5"/>
        <v>3.6662920210935368E-2</v>
      </c>
      <c r="T67" s="8">
        <f t="shared" si="6"/>
        <v>3.044705400733049</v>
      </c>
      <c r="U67" s="8">
        <f t="shared" si="44"/>
        <v>1.4454399999999996</v>
      </c>
      <c r="V67" s="8">
        <f t="shared" si="7"/>
        <v>-0.12543135073052611</v>
      </c>
      <c r="W67" s="10">
        <f t="shared" si="8"/>
        <v>2.4918636787847035</v>
      </c>
      <c r="X67" s="8">
        <f t="shared" si="9"/>
        <v>4.1876383169715723</v>
      </c>
      <c r="Y67" s="9">
        <f t="shared" si="10"/>
        <v>0.4434715312980485</v>
      </c>
      <c r="Z67" s="11">
        <f t="shared" si="11"/>
        <v>41.908575659267441</v>
      </c>
      <c r="AA67" s="11">
        <f t="shared" si="12"/>
        <v>-889.72638118186524</v>
      </c>
      <c r="AB67" s="8">
        <f t="shared" si="1"/>
        <v>6.209384593646436</v>
      </c>
      <c r="AC67" s="9">
        <f t="shared" si="2"/>
        <v>-0.43133151554732724</v>
      </c>
      <c r="AD67" s="11">
        <f t="shared" si="3"/>
        <v>-3059.5782169490412</v>
      </c>
    </row>
    <row r="68" spans="9:30" x14ac:dyDescent="0.25">
      <c r="I68" s="1"/>
      <c r="J68" s="1"/>
      <c r="O68" s="6">
        <f t="shared" si="15"/>
        <v>71</v>
      </c>
      <c r="P68" s="7">
        <f t="shared" si="13"/>
        <v>0.10741301059001512</v>
      </c>
      <c r="Q68" s="8">
        <f t="shared" si="14"/>
        <v>17.087118723979849</v>
      </c>
      <c r="R68" s="9">
        <f t="shared" si="4"/>
        <v>0.1492366876588343</v>
      </c>
      <c r="S68" s="9">
        <f t="shared" si="5"/>
        <v>3.6593942765592392E-2</v>
      </c>
      <c r="T68" s="8">
        <f t="shared" si="6"/>
        <v>3.1264252230710032</v>
      </c>
      <c r="U68" s="8">
        <f t="shared" si="44"/>
        <v>1.3804800000000002</v>
      </c>
      <c r="V68" s="8">
        <f t="shared" si="7"/>
        <v>-0.13693553773559106</v>
      </c>
      <c r="W68" s="10">
        <f t="shared" si="8"/>
        <v>2.5274617313387706</v>
      </c>
      <c r="X68" s="8">
        <f t="shared" si="9"/>
        <v>4.0781800587816059</v>
      </c>
      <c r="Y68" s="9">
        <f t="shared" si="10"/>
        <v>0.43804959784189712</v>
      </c>
      <c r="Z68" s="11">
        <f t="shared" si="11"/>
        <v>42.908575659267441</v>
      </c>
      <c r="AA68" s="11">
        <f t="shared" si="12"/>
        <v>-985.20554882833255</v>
      </c>
      <c r="AB68" s="8">
        <f t="shared" si="1"/>
        <v>6.3880628033819757</v>
      </c>
      <c r="AC68" s="9">
        <f t="shared" si="2"/>
        <v>-0.45210033753035556</v>
      </c>
      <c r="AD68" s="11">
        <f t="shared" si="3"/>
        <v>-3252.7112284183977</v>
      </c>
    </row>
    <row r="69" spans="9:30" x14ac:dyDescent="0.25">
      <c r="I69" s="1"/>
      <c r="J69" s="1"/>
    </row>
    <row r="70" spans="9:30" x14ac:dyDescent="0.25">
      <c r="I70" s="1"/>
      <c r="J70" s="1"/>
    </row>
    <row r="71" spans="9:30" ht="15.75" thickBot="1" x14ac:dyDescent="0.3">
      <c r="I71" s="1"/>
      <c r="J71" s="1"/>
    </row>
    <row r="72" spans="9:30" x14ac:dyDescent="0.25">
      <c r="I72" s="1"/>
      <c r="J72" s="1"/>
      <c r="O72" s="23"/>
      <c r="P72" s="24" t="s">
        <v>20</v>
      </c>
      <c r="Q72" s="24"/>
      <c r="R72" s="24"/>
      <c r="S72" s="24"/>
      <c r="T72" s="24"/>
      <c r="U72" s="24"/>
      <c r="V72" s="24"/>
      <c r="W72" s="24"/>
      <c r="X72" s="24"/>
      <c r="Y72" s="24"/>
      <c r="Z72" s="24"/>
      <c r="AA72" s="25"/>
    </row>
    <row r="73" spans="9:30" x14ac:dyDescent="0.25">
      <c r="I73" s="1"/>
      <c r="J73" s="1"/>
      <c r="O73" s="26" t="s">
        <v>26</v>
      </c>
      <c r="P73" s="21" t="s">
        <v>27</v>
      </c>
      <c r="Q73" s="21" t="s">
        <v>4</v>
      </c>
      <c r="R73" s="21" t="s">
        <v>5</v>
      </c>
      <c r="S73" s="21" t="s">
        <v>6</v>
      </c>
      <c r="T73" s="21" t="s">
        <v>10</v>
      </c>
      <c r="U73" s="21" t="s">
        <v>30</v>
      </c>
      <c r="V73" s="21" t="s">
        <v>21</v>
      </c>
      <c r="W73" s="21" t="s">
        <v>0</v>
      </c>
      <c r="X73" s="21" t="s">
        <v>13</v>
      </c>
      <c r="Y73" s="21" t="s">
        <v>22</v>
      </c>
      <c r="Z73" s="21" t="s">
        <v>1</v>
      </c>
      <c r="AA73" s="27" t="s">
        <v>28</v>
      </c>
    </row>
    <row r="74" spans="9:30" x14ac:dyDescent="0.25">
      <c r="I74" s="1"/>
      <c r="J74" s="1"/>
      <c r="O74" s="12">
        <v>0</v>
      </c>
      <c r="P74" s="11">
        <v>0.1</v>
      </c>
      <c r="Q74" s="7">
        <f t="shared" ref="Q74:Q79" si="45">Z74/661</f>
        <v>1.5218170236483796E-2</v>
      </c>
      <c r="R74" s="8">
        <f t="shared" ref="R74" si="46">1481*Q74^2</f>
        <v>0.34298879661831649</v>
      </c>
      <c r="S74" s="6">
        <f>$U$11</f>
        <v>0</v>
      </c>
      <c r="T74" s="7">
        <f t="shared" ref="T74:T99" si="47">IF(S74&lt;$P$8,S74^2/(PI()*$P$12)+$P$11,99.999)</f>
        <v>3.5412398275309127E-2</v>
      </c>
      <c r="U74" s="22">
        <f>S74*R74*$P$13</f>
        <v>0</v>
      </c>
      <c r="V74" s="8">
        <f>IF(T74="","",R74*T74*$P$13+$U$12*($P$10-U74))</f>
        <v>0.6982365293490842</v>
      </c>
      <c r="W74" s="8">
        <f t="shared" ref="W74:W105" si="48">$P$9*($G$34*Z74^2+$G$35*Z74+$G$36)</f>
        <v>4.1702851939058174</v>
      </c>
      <c r="X74" s="9">
        <f>IF(T74="","",(W74-V74)/$P$10)</f>
        <v>0.27231487256452253</v>
      </c>
      <c r="Y74" s="10">
        <f>Q74/$U$9</f>
        <v>0.35808830496821537</v>
      </c>
      <c r="Z74" s="8">
        <f>P74*3600/6080+$P$14</f>
        <v>10.059210526315789</v>
      </c>
      <c r="AA74" s="13">
        <v>0</v>
      </c>
    </row>
    <row r="75" spans="9:30" x14ac:dyDescent="0.25">
      <c r="I75" s="1"/>
      <c r="J75" s="1"/>
      <c r="O75" s="12">
        <f>O74+0.5</f>
        <v>0.5</v>
      </c>
      <c r="P75" s="11">
        <f>P74+32.2*X74*(O75-O74)</f>
        <v>4.4842694482888126</v>
      </c>
      <c r="Q75" s="7">
        <f t="shared" si="45"/>
        <v>1.9145475857412941E-2</v>
      </c>
      <c r="R75" s="8">
        <f t="shared" ref="R75:R79" si="49">1481*Q75^2</f>
        <v>0.54285943303984385</v>
      </c>
      <c r="S75" s="6">
        <f t="shared" ref="S75:S134" si="50">$U$11</f>
        <v>0</v>
      </c>
      <c r="T75" s="7">
        <f t="shared" si="47"/>
        <v>3.5412398275309127E-2</v>
      </c>
      <c r="U75" s="22">
        <f t="shared" ref="U75:U89" si="51">S75*R75*$P$13</f>
        <v>0</v>
      </c>
      <c r="V75" s="8">
        <f t="shared" ref="V75:V99" si="52">IF(T75="","",R75*T75*$P$13+$U$12*($P$10-U75))</f>
        <v>0.73362602225157736</v>
      </c>
      <c r="W75" s="8">
        <f t="shared" si="48"/>
        <v>4.0999126545229947</v>
      </c>
      <c r="X75" s="9">
        <f>IF(T75="","",(W75-V75)/$P$10)</f>
        <v>0.26401989253214514</v>
      </c>
      <c r="Y75" s="10">
        <f t="shared" ref="Y75:Y89" si="53">Q75/$U$9</f>
        <v>0.45049903444731981</v>
      </c>
      <c r="Z75" s="8">
        <f t="shared" ref="Z75:Z99" si="54">P75*3600/6080+$P$14</f>
        <v>12.655159541749954</v>
      </c>
      <c r="AA75" s="13">
        <f>AA74+(P75+P74)/2*(O75-O74)</f>
        <v>1.1460673620722031</v>
      </c>
    </row>
    <row r="76" spans="9:30" x14ac:dyDescent="0.25">
      <c r="I76" s="1"/>
      <c r="J76" s="1"/>
      <c r="O76" s="12">
        <f t="shared" ref="O76:O89" si="55">O75+0.5</f>
        <v>1</v>
      </c>
      <c r="P76" s="11">
        <f t="shared" ref="P76:P89" si="56">P75+32.2*X75*(O76-O75)</f>
        <v>8.7349897180563509</v>
      </c>
      <c r="Q76" s="7">
        <f t="shared" si="45"/>
        <v>2.2953151869427021E-2</v>
      </c>
      <c r="R76" s="8">
        <f t="shared" si="49"/>
        <v>0.78026067467739313</v>
      </c>
      <c r="S76" s="6">
        <f t="shared" si="50"/>
        <v>0</v>
      </c>
      <c r="T76" s="7">
        <f t="shared" si="47"/>
        <v>3.5412398275309127E-2</v>
      </c>
      <c r="U76" s="22">
        <f t="shared" si="51"/>
        <v>0</v>
      </c>
      <c r="V76" s="8">
        <f t="shared" si="52"/>
        <v>0.77566075885118635</v>
      </c>
      <c r="W76" s="8">
        <f t="shared" si="48"/>
        <v>4.0275658665697955</v>
      </c>
      <c r="X76" s="9">
        <f t="shared" ref="X76:X89" si="57">IF(T76="","",(W76-V76)/$P$10)</f>
        <v>0.2550488805183172</v>
      </c>
      <c r="Y76" s="10">
        <f t="shared" si="53"/>
        <v>0.54009484181589962</v>
      </c>
      <c r="Z76" s="8">
        <f t="shared" si="54"/>
        <v>15.172033385691261</v>
      </c>
      <c r="AA76" s="13">
        <f t="shared" ref="AA76:AA89" si="58">AA75+(P76+P75)/2*(O76-O75)</f>
        <v>4.4508821536584939</v>
      </c>
    </row>
    <row r="77" spans="9:30" x14ac:dyDescent="0.25">
      <c r="I77" s="1"/>
      <c r="J77" s="1"/>
      <c r="O77" s="12">
        <f t="shared" si="55"/>
        <v>1.5</v>
      </c>
      <c r="P77" s="11">
        <f t="shared" si="56"/>
        <v>12.841276694401259</v>
      </c>
      <c r="Q77" s="7">
        <f t="shared" si="45"/>
        <v>2.6631448587627529E-2</v>
      </c>
      <c r="R77" s="8">
        <f t="shared" si="49"/>
        <v>1.0503756337895389</v>
      </c>
      <c r="S77" s="6">
        <f t="shared" si="50"/>
        <v>0</v>
      </c>
      <c r="T77" s="7">
        <f t="shared" si="47"/>
        <v>3.5412398275309127E-2</v>
      </c>
      <c r="U77" s="22">
        <f t="shared" si="51"/>
        <v>0</v>
      </c>
      <c r="V77" s="8">
        <f t="shared" si="52"/>
        <v>0.82348785141217706</v>
      </c>
      <c r="W77" s="8">
        <f t="shared" si="48"/>
        <v>3.9538274310171304</v>
      </c>
      <c r="X77" s="9">
        <f t="shared" si="57"/>
        <v>0.24551442276879273</v>
      </c>
      <c r="Y77" s="10">
        <f t="shared" si="53"/>
        <v>0.62664631393919357</v>
      </c>
      <c r="Z77" s="8">
        <f t="shared" si="54"/>
        <v>17.603387516421797</v>
      </c>
      <c r="AA77" s="13">
        <f t="shared" si="58"/>
        <v>9.8449487567728973</v>
      </c>
    </row>
    <row r="78" spans="9:30" x14ac:dyDescent="0.25">
      <c r="I78" s="1"/>
      <c r="J78" s="1"/>
      <c r="O78" s="12">
        <f t="shared" si="55"/>
        <v>2</v>
      </c>
      <c r="P78" s="11">
        <f t="shared" si="56"/>
        <v>16.794058900978822</v>
      </c>
      <c r="Q78" s="7">
        <f t="shared" si="45"/>
        <v>3.0172240037902046E-2</v>
      </c>
      <c r="R78" s="8">
        <f t="shared" si="49"/>
        <v>1.3482491860479779</v>
      </c>
      <c r="S78" s="6">
        <f t="shared" si="50"/>
        <v>0</v>
      </c>
      <c r="T78" s="7">
        <f t="shared" si="47"/>
        <v>3.5412398275309127E-2</v>
      </c>
      <c r="U78" s="22">
        <f t="shared" si="51"/>
        <v>0</v>
      </c>
      <c r="V78" s="8">
        <f t="shared" si="52"/>
        <v>0.87622993575346175</v>
      </c>
      <c r="W78" s="8">
        <f t="shared" si="48"/>
        <v>3.8792717054133612</v>
      </c>
      <c r="X78" s="9">
        <f t="shared" si="57"/>
        <v>0.23553037869510293</v>
      </c>
      <c r="Y78" s="10">
        <f t="shared" si="53"/>
        <v>0.70996224410503361</v>
      </c>
      <c r="Z78" s="8">
        <f t="shared" si="54"/>
        <v>19.943850665053251</v>
      </c>
      <c r="AA78" s="13">
        <f t="shared" si="58"/>
        <v>17.253782655617918</v>
      </c>
    </row>
    <row r="79" spans="9:30" x14ac:dyDescent="0.25">
      <c r="I79" s="1"/>
      <c r="J79" s="1"/>
      <c r="O79" s="12">
        <f t="shared" si="55"/>
        <v>2.5</v>
      </c>
      <c r="P79" s="11">
        <f t="shared" si="56"/>
        <v>20.586097997969979</v>
      </c>
      <c r="Q79" s="7">
        <f t="shared" si="45"/>
        <v>3.3569042318429991E-2</v>
      </c>
      <c r="R79" s="8">
        <f t="shared" si="49"/>
        <v>1.6689101718234611</v>
      </c>
      <c r="S79" s="6">
        <f t="shared" si="50"/>
        <v>0</v>
      </c>
      <c r="T79" s="7">
        <f t="shared" si="47"/>
        <v>3.5412398275309127E-2</v>
      </c>
      <c r="U79" s="22">
        <f t="shared" si="51"/>
        <v>0</v>
      </c>
      <c r="V79" s="8">
        <f t="shared" si="52"/>
        <v>0.93300680845163497</v>
      </c>
      <c r="W79" s="8">
        <f t="shared" si="48"/>
        <v>3.8044530265992083</v>
      </c>
      <c r="X79" s="9">
        <f t="shared" si="57"/>
        <v>0.22520926015608267</v>
      </c>
      <c r="Y79" s="10">
        <f t="shared" si="53"/>
        <v>0.78989006407581763</v>
      </c>
      <c r="Z79" s="8">
        <f t="shared" si="54"/>
        <v>22.189136972482224</v>
      </c>
      <c r="AA79" s="13">
        <f t="shared" si="58"/>
        <v>26.598821880355118</v>
      </c>
    </row>
    <row r="80" spans="9:30" x14ac:dyDescent="0.25">
      <c r="I80" s="1"/>
      <c r="J80" s="1"/>
      <c r="O80" s="12">
        <f t="shared" si="55"/>
        <v>3</v>
      </c>
      <c r="P80" s="11">
        <f t="shared" si="56"/>
        <v>24.211967086482911</v>
      </c>
      <c r="Q80" s="7">
        <f t="shared" ref="Q80:Q89" si="59">Z80/661</f>
        <v>3.6816994165374053E-2</v>
      </c>
      <c r="R80" s="8">
        <f t="shared" ref="R80:R89" si="60">1481*Q80^2</f>
        <v>2.0074822589316899</v>
      </c>
      <c r="S80" s="6">
        <f t="shared" si="50"/>
        <v>0</v>
      </c>
      <c r="T80" s="7">
        <f t="shared" si="47"/>
        <v>3.5412398275309127E-2</v>
      </c>
      <c r="U80" s="22">
        <f t="shared" si="51"/>
        <v>0</v>
      </c>
      <c r="V80" s="8">
        <f t="shared" si="52"/>
        <v>0.9929550564195313</v>
      </c>
      <c r="W80" s="8">
        <f t="shared" si="48"/>
        <v>3.7298954995079194</v>
      </c>
      <c r="X80" s="9">
        <f t="shared" si="57"/>
        <v>0.21465989102760857</v>
      </c>
      <c r="Y80" s="10">
        <f t="shared" si="53"/>
        <v>0.86631538679315057</v>
      </c>
      <c r="Z80" s="8">
        <f t="shared" si="54"/>
        <v>24.33603314331225</v>
      </c>
      <c r="AA80" s="13">
        <f t="shared" si="58"/>
        <v>37.798338151468343</v>
      </c>
    </row>
    <row r="81" spans="9:27" x14ac:dyDescent="0.25">
      <c r="I81" s="1"/>
      <c r="J81" s="1"/>
      <c r="O81" s="12">
        <f t="shared" si="55"/>
        <v>3.5</v>
      </c>
      <c r="P81" s="11">
        <f t="shared" si="56"/>
        <v>27.667991332027409</v>
      </c>
      <c r="Q81" s="7">
        <f t="shared" si="59"/>
        <v>3.9912803765053614E-2</v>
      </c>
      <c r="R81" s="8">
        <f t="shared" si="60"/>
        <v>2.3592802503981511</v>
      </c>
      <c r="S81" s="6">
        <f t="shared" si="50"/>
        <v>0</v>
      </c>
      <c r="T81" s="7">
        <f t="shared" si="47"/>
        <v>3.5412398275309127E-2</v>
      </c>
      <c r="U81" s="22">
        <f t="shared" si="51"/>
        <v>0</v>
      </c>
      <c r="V81" s="8">
        <f t="shared" si="52"/>
        <v>1.0552451093508519</v>
      </c>
      <c r="W81" s="8">
        <f t="shared" si="48"/>
        <v>3.6560846026891536</v>
      </c>
      <c r="X81" s="9">
        <f t="shared" si="57"/>
        <v>0.20398541138524534</v>
      </c>
      <c r="Y81" s="10">
        <f t="shared" si="53"/>
        <v>0.93916075485165129</v>
      </c>
      <c r="Z81" s="8">
        <f t="shared" si="54"/>
        <v>26.382363288700439</v>
      </c>
      <c r="AA81" s="13">
        <f t="shared" si="58"/>
        <v>50.768327756095921</v>
      </c>
    </row>
    <row r="82" spans="9:27" x14ac:dyDescent="0.25">
      <c r="I82" s="1"/>
      <c r="J82" s="1"/>
      <c r="O82" s="12">
        <f t="shared" si="55"/>
        <v>4</v>
      </c>
      <c r="P82" s="11">
        <f t="shared" si="56"/>
        <v>30.95215645532986</v>
      </c>
      <c r="Q82" s="7">
        <f t="shared" si="59"/>
        <v>4.2854666782583081E-2</v>
      </c>
      <c r="R82" s="8">
        <f t="shared" si="60"/>
        <v>2.7198897707334662</v>
      </c>
      <c r="S82" s="6">
        <f t="shared" si="50"/>
        <v>0</v>
      </c>
      <c r="T82" s="7">
        <f t="shared" si="47"/>
        <v>3.5412398275309127E-2</v>
      </c>
      <c r="U82" s="22">
        <f t="shared" si="51"/>
        <v>0</v>
      </c>
      <c r="V82" s="8">
        <f t="shared" si="52"/>
        <v>1.1190953491307636</v>
      </c>
      <c r="W82" s="8">
        <f t="shared" si="48"/>
        <v>3.5834607404690288</v>
      </c>
      <c r="X82" s="9">
        <f t="shared" si="57"/>
        <v>0.19328166518667583</v>
      </c>
      <c r="Y82" s="10">
        <f t="shared" si="53"/>
        <v>1.0083837116871774</v>
      </c>
      <c r="Z82" s="8">
        <f t="shared" si="54"/>
        <v>28.326934743287417</v>
      </c>
      <c r="AA82" s="13">
        <f t="shared" si="58"/>
        <v>65.423364702935231</v>
      </c>
    </row>
    <row r="83" spans="9:27" x14ac:dyDescent="0.25">
      <c r="I83" s="1"/>
      <c r="J83" s="1"/>
      <c r="O83" s="12">
        <f t="shared" si="55"/>
        <v>4.5</v>
      </c>
      <c r="P83" s="11">
        <f t="shared" si="56"/>
        <v>34.063991264835337</v>
      </c>
      <c r="Q83" s="7">
        <f t="shared" si="59"/>
        <v>4.5642161137781474E-2</v>
      </c>
      <c r="R83" s="8">
        <f t="shared" si="60"/>
        <v>3.0852293793975969</v>
      </c>
      <c r="S83" s="6">
        <f t="shared" si="50"/>
        <v>0</v>
      </c>
      <c r="T83" s="7">
        <f t="shared" si="47"/>
        <v>3.5412398275309127E-2</v>
      </c>
      <c r="U83" s="22">
        <f t="shared" si="51"/>
        <v>0</v>
      </c>
      <c r="V83" s="8">
        <f t="shared" si="52"/>
        <v>1.1837831077695626</v>
      </c>
      <c r="W83" s="8">
        <f t="shared" si="48"/>
        <v>3.5124147590241415</v>
      </c>
      <c r="X83" s="9">
        <f t="shared" si="57"/>
        <v>0.18263598602010403</v>
      </c>
      <c r="Y83" s="10">
        <f t="shared" si="53"/>
        <v>1.0739743256210699</v>
      </c>
      <c r="Z83" s="8">
        <f t="shared" si="54"/>
        <v>30.169468512073554</v>
      </c>
      <c r="AA83" s="13">
        <f t="shared" si="58"/>
        <v>81.677401632976526</v>
      </c>
    </row>
    <row r="84" spans="9:27" x14ac:dyDescent="0.25">
      <c r="I84" s="1"/>
      <c r="J84" s="1"/>
      <c r="O84" s="12">
        <f t="shared" si="55"/>
        <v>5</v>
      </c>
      <c r="P84" s="11">
        <f t="shared" si="56"/>
        <v>37.004430639759015</v>
      </c>
      <c r="Q84" s="7">
        <f t="shared" si="59"/>
        <v>4.8276124269232334E-2</v>
      </c>
      <c r="R84" s="8">
        <f t="shared" si="60"/>
        <v>3.4515951623728358</v>
      </c>
      <c r="S84" s="6">
        <f t="shared" si="50"/>
        <v>0</v>
      </c>
      <c r="T84" s="7">
        <f t="shared" si="47"/>
        <v>3.5412398275309127E-2</v>
      </c>
      <c r="U84" s="22">
        <f t="shared" si="51"/>
        <v>0</v>
      </c>
      <c r="V84" s="8">
        <f t="shared" si="52"/>
        <v>1.2486525628753857</v>
      </c>
      <c r="W84" s="8">
        <f t="shared" si="48"/>
        <v>3.4432853462751356</v>
      </c>
      <c r="X84" s="9">
        <f t="shared" si="57"/>
        <v>0.17212637392964772</v>
      </c>
      <c r="Y84" s="10">
        <f t="shared" si="53"/>
        <v>1.1359523018450983</v>
      </c>
      <c r="Z84" s="8">
        <f t="shared" si="54"/>
        <v>31.910518141962573</v>
      </c>
      <c r="AA84" s="13">
        <f t="shared" si="58"/>
        <v>99.444507109125112</v>
      </c>
    </row>
    <row r="85" spans="9:27" x14ac:dyDescent="0.25">
      <c r="I85" s="1"/>
      <c r="J85" s="1"/>
      <c r="O85" s="12">
        <f t="shared" si="55"/>
        <v>5.5</v>
      </c>
      <c r="P85" s="11">
        <f t="shared" si="56"/>
        <v>39.775665260026344</v>
      </c>
      <c r="Q85" s="7">
        <f t="shared" si="59"/>
        <v>5.0758518526578263E-2</v>
      </c>
      <c r="R85" s="8">
        <f t="shared" si="60"/>
        <v>3.8156886876622367</v>
      </c>
      <c r="S85" s="6">
        <f t="shared" si="50"/>
        <v>0</v>
      </c>
      <c r="T85" s="7">
        <f t="shared" si="47"/>
        <v>3.5412398275309127E-2</v>
      </c>
      <c r="U85" s="22">
        <f t="shared" si="51"/>
        <v>0</v>
      </c>
      <c r="V85" s="8">
        <f t="shared" si="52"/>
        <v>1.3131196875104338</v>
      </c>
      <c r="W85" s="8">
        <f t="shared" si="48"/>
        <v>3.3763581580083617</v>
      </c>
      <c r="X85" s="9">
        <f t="shared" si="57"/>
        <v>0.16182103865632122</v>
      </c>
      <c r="Y85" s="10">
        <f t="shared" si="53"/>
        <v>1.1943638150600551</v>
      </c>
      <c r="Z85" s="8">
        <f t="shared" si="54"/>
        <v>33.551380746068233</v>
      </c>
      <c r="AA85" s="13">
        <f t="shared" si="58"/>
        <v>118.63953108407145</v>
      </c>
    </row>
    <row r="86" spans="9:27" x14ac:dyDescent="0.25">
      <c r="I86" s="1"/>
      <c r="J86" s="1"/>
      <c r="O86" s="12">
        <f t="shared" si="55"/>
        <v>6</v>
      </c>
      <c r="P86" s="11">
        <f t="shared" si="56"/>
        <v>42.380983982393118</v>
      </c>
      <c r="Q86" s="7">
        <f t="shared" si="59"/>
        <v>5.3092289975469595E-2</v>
      </c>
      <c r="R86" s="8">
        <f t="shared" si="60"/>
        <v>4.1746298484170756</v>
      </c>
      <c r="S86" s="6">
        <f t="shared" si="50"/>
        <v>0</v>
      </c>
      <c r="T86" s="7">
        <f t="shared" si="47"/>
        <v>3.5412398275309127E-2</v>
      </c>
      <c r="U86" s="22">
        <f t="shared" si="51"/>
        <v>0</v>
      </c>
      <c r="V86" s="8">
        <f t="shared" si="52"/>
        <v>1.3766745242206944</v>
      </c>
      <c r="W86" s="8">
        <f t="shared" si="48"/>
        <v>3.3118664570782856</v>
      </c>
      <c r="X86" s="9">
        <f t="shared" si="57"/>
        <v>0.15177827141754227</v>
      </c>
      <c r="Y86" s="10">
        <f t="shared" si="53"/>
        <v>1.24927818711204</v>
      </c>
      <c r="Z86" s="8">
        <f t="shared" si="54"/>
        <v>35.094003673785402</v>
      </c>
      <c r="AA86" s="13">
        <f t="shared" si="58"/>
        <v>139.17869339467632</v>
      </c>
    </row>
    <row r="87" spans="9:27" x14ac:dyDescent="0.25">
      <c r="I87" s="1"/>
      <c r="J87" s="1"/>
      <c r="O87" s="12">
        <f t="shared" si="55"/>
        <v>6.5</v>
      </c>
      <c r="P87" s="11">
        <f t="shared" si="56"/>
        <v>44.824614152215553</v>
      </c>
      <c r="Q87" s="7">
        <f t="shared" si="59"/>
        <v>5.5281225353326288E-2</v>
      </c>
      <c r="R87" s="8">
        <f t="shared" si="60"/>
        <v>4.5259565511931283</v>
      </c>
      <c r="S87" s="6">
        <f t="shared" si="50"/>
        <v>0</v>
      </c>
      <c r="T87" s="7">
        <f t="shared" si="47"/>
        <v>3.5412398275309127E-2</v>
      </c>
      <c r="U87" s="22">
        <f>S87*R87*$P$13</f>
        <v>0</v>
      </c>
      <c r="V87" s="8">
        <f t="shared" si="52"/>
        <v>1.438881129837978</v>
      </c>
      <c r="W87" s="8">
        <f t="shared" si="48"/>
        <v>3.24999301875431</v>
      </c>
      <c r="X87" s="9">
        <f t="shared" si="57"/>
        <v>0.14204659867384295</v>
      </c>
      <c r="Y87" s="10">
        <f t="shared" si="53"/>
        <v>1.3007845211168021</v>
      </c>
      <c r="Z87" s="8">
        <f t="shared" si="54"/>
        <v>36.540889958548675</v>
      </c>
      <c r="AA87" s="13">
        <f t="shared" si="58"/>
        <v>160.98009292832847</v>
      </c>
    </row>
    <row r="88" spans="9:27" x14ac:dyDescent="0.25">
      <c r="I88" s="1"/>
      <c r="J88" s="1"/>
      <c r="O88" s="12">
        <f t="shared" si="55"/>
        <v>7</v>
      </c>
      <c r="P88" s="11">
        <f t="shared" si="56"/>
        <v>47.111564390864423</v>
      </c>
      <c r="Q88" s="7">
        <f t="shared" si="59"/>
        <v>5.7329811242712379E-2</v>
      </c>
      <c r="R88" s="8">
        <f t="shared" si="60"/>
        <v>4.8676134478021709</v>
      </c>
      <c r="S88" s="6">
        <f t="shared" si="50"/>
        <v>0</v>
      </c>
      <c r="T88" s="7">
        <f t="shared" si="47"/>
        <v>3.5412398275309127E-2</v>
      </c>
      <c r="U88" s="22">
        <f t="shared" si="51"/>
        <v>0</v>
      </c>
      <c r="V88" s="8">
        <f t="shared" si="52"/>
        <v>1.4993755803191056</v>
      </c>
      <c r="W88" s="8">
        <f t="shared" si="48"/>
        <v>3.1908730413314674</v>
      </c>
      <c r="X88" s="9">
        <f t="shared" si="57"/>
        <v>0.13266516689149022</v>
      </c>
      <c r="Y88" s="10">
        <f t="shared" si="53"/>
        <v>1.3489883877651991</v>
      </c>
      <c r="Z88" s="8">
        <f t="shared" si="54"/>
        <v>37.895005231432883</v>
      </c>
      <c r="AA88" s="13">
        <f t="shared" si="58"/>
        <v>183.96413756409848</v>
      </c>
    </row>
    <row r="89" spans="9:27" x14ac:dyDescent="0.25">
      <c r="I89" s="1"/>
      <c r="J89" s="1"/>
      <c r="O89" s="12">
        <f t="shared" si="55"/>
        <v>7.5</v>
      </c>
      <c r="P89" s="11">
        <f t="shared" si="56"/>
        <v>49.247473577817416</v>
      </c>
      <c r="Q89" s="7">
        <f t="shared" si="59"/>
        <v>5.9243098793729285E-2</v>
      </c>
      <c r="R89" s="8">
        <f t="shared" si="60"/>
        <v>5.1979319816863647</v>
      </c>
      <c r="S89" s="6">
        <f t="shared" si="50"/>
        <v>0</v>
      </c>
      <c r="T89" s="7">
        <f t="shared" si="47"/>
        <v>3.5412398275309127E-2</v>
      </c>
      <c r="U89" s="22">
        <f t="shared" si="51"/>
        <v>0</v>
      </c>
      <c r="V89" s="8">
        <f t="shared" si="52"/>
        <v>1.5578624377172219</v>
      </c>
      <c r="W89" s="8">
        <f t="shared" si="48"/>
        <v>3.1345978039277718</v>
      </c>
      <c r="X89" s="9">
        <f t="shared" si="57"/>
        <v>0.12366430652331251</v>
      </c>
      <c r="Y89" s="10">
        <f t="shared" si="53"/>
        <v>1.3940086421988052</v>
      </c>
      <c r="Z89" s="8">
        <f t="shared" si="54"/>
        <v>39.159688302655056</v>
      </c>
      <c r="AA89" s="13">
        <f t="shared" si="58"/>
        <v>208.05389705626894</v>
      </c>
    </row>
    <row r="90" spans="9:27" x14ac:dyDescent="0.25">
      <c r="I90" s="1"/>
      <c r="J90" s="1"/>
      <c r="O90" s="12">
        <f t="shared" ref="O90:O134" si="61">O89+0.5</f>
        <v>8</v>
      </c>
      <c r="P90" s="11">
        <f t="shared" ref="P90:P99" si="62">P89+32.2*X89*(O90-O89)</f>
        <v>51.238468912842748</v>
      </c>
      <c r="Q90" s="7">
        <f t="shared" ref="Q90:Q99" si="63">Z90/661</f>
        <v>6.1026576580100404E-2</v>
      </c>
      <c r="R90" s="8">
        <f t="shared" ref="R90:R99" si="64">1481*Q90^2</f>
        <v>5.515603955697638</v>
      </c>
      <c r="S90" s="6">
        <f t="shared" si="50"/>
        <v>0</v>
      </c>
      <c r="T90" s="7">
        <f t="shared" si="47"/>
        <v>3.5412398275309127E-2</v>
      </c>
      <c r="U90" s="22">
        <f t="shared" ref="U90:U99" si="65">S90*R90*$P$13</f>
        <v>0</v>
      </c>
      <c r="V90" s="8">
        <f t="shared" si="52"/>
        <v>1.6141100700401763</v>
      </c>
      <c r="W90" s="8">
        <f t="shared" si="48"/>
        <v>3.0812188292301586</v>
      </c>
      <c r="X90" s="9">
        <f t="shared" ref="X90:X99" si="66">IF(T90="","",(W90-V90)/$P$10)</f>
        <v>0.11506622556170878</v>
      </c>
      <c r="Y90" s="10">
        <f t="shared" ref="Y90:Y99" si="67">Q90/$U$9</f>
        <v>1.4359744322738188</v>
      </c>
      <c r="Z90" s="8">
        <f t="shared" si="54"/>
        <v>40.338567119446367</v>
      </c>
      <c r="AA90" s="13">
        <f t="shared" ref="AA90:AA99" si="68">AA89+(P90+P89)/2*(O90-O89)</f>
        <v>233.17538267893397</v>
      </c>
    </row>
    <row r="91" spans="9:27" x14ac:dyDescent="0.25">
      <c r="I91" s="1"/>
      <c r="J91" s="1"/>
      <c r="O91" s="12">
        <f t="shared" si="61"/>
        <v>8.5</v>
      </c>
      <c r="P91" s="11">
        <f t="shared" si="62"/>
        <v>53.091035144386261</v>
      </c>
      <c r="Q91" s="7">
        <f t="shared" si="63"/>
        <v>6.2686053457627636E-2</v>
      </c>
      <c r="R91" s="8">
        <f t="shared" si="64"/>
        <v>5.8196506624750661</v>
      </c>
      <c r="S91" s="6">
        <f t="shared" si="50"/>
        <v>0</v>
      </c>
      <c r="T91" s="7">
        <f t="shared" si="47"/>
        <v>3.5412398275309127E-2</v>
      </c>
      <c r="U91" s="22">
        <f t="shared" si="65"/>
        <v>0</v>
      </c>
      <c r="V91" s="8">
        <f t="shared" si="52"/>
        <v>1.6679451854136684</v>
      </c>
      <c r="W91" s="8">
        <f t="shared" si="48"/>
        <v>3.030752333982595</v>
      </c>
      <c r="X91" s="9">
        <f t="shared" si="66"/>
        <v>0.10688578728200128</v>
      </c>
      <c r="Y91" s="10">
        <f t="shared" si="67"/>
        <v>1.47502244218391</v>
      </c>
      <c r="Z91" s="8">
        <f t="shared" si="54"/>
        <v>41.435481335491865</v>
      </c>
      <c r="AA91" s="13">
        <f t="shared" si="68"/>
        <v>259.25775869324121</v>
      </c>
    </row>
    <row r="92" spans="9:27" x14ac:dyDescent="0.25">
      <c r="I92" s="1"/>
      <c r="J92" s="1"/>
      <c r="O92" s="12">
        <f t="shared" si="61"/>
        <v>9</v>
      </c>
      <c r="P92" s="11">
        <f t="shared" si="62"/>
        <v>54.811896319626484</v>
      </c>
      <c r="Q92" s="7">
        <f t="shared" si="63"/>
        <v>6.4227552639206778E-2</v>
      </c>
      <c r="R92" s="8">
        <f t="shared" si="64"/>
        <v>6.1093893851906973</v>
      </c>
      <c r="S92" s="6">
        <f t="shared" si="50"/>
        <v>0</v>
      </c>
      <c r="T92" s="7">
        <f t="shared" si="47"/>
        <v>3.5412398275309127E-2</v>
      </c>
      <c r="U92" s="22">
        <f t="shared" si="65"/>
        <v>0</v>
      </c>
      <c r="V92" s="8">
        <f t="shared" si="52"/>
        <v>1.7192469006365947</v>
      </c>
      <c r="W92" s="8">
        <f t="shared" si="48"/>
        <v>2.9831837806295374</v>
      </c>
      <c r="X92" s="9">
        <f t="shared" si="66"/>
        <v>9.9131332437363759E-2</v>
      </c>
      <c r="Y92" s="10">
        <f t="shared" si="67"/>
        <v>1.5112944000122057</v>
      </c>
      <c r="Z92" s="8">
        <f t="shared" si="54"/>
        <v>42.454412294515677</v>
      </c>
      <c r="AA92" s="13">
        <f t="shared" si="68"/>
        <v>286.23349155924438</v>
      </c>
    </row>
    <row r="93" spans="9:27" x14ac:dyDescent="0.25">
      <c r="I93" s="1"/>
      <c r="J93" s="1"/>
      <c r="O93" s="12">
        <f t="shared" si="61"/>
        <v>9.5</v>
      </c>
      <c r="P93" s="11">
        <f t="shared" si="62"/>
        <v>56.407910771868039</v>
      </c>
      <c r="Q93" s="7">
        <f t="shared" si="63"/>
        <v>6.565721762747953E-2</v>
      </c>
      <c r="R93" s="8">
        <f t="shared" si="64"/>
        <v>6.3843988055682503</v>
      </c>
      <c r="S93" s="6">
        <f t="shared" si="50"/>
        <v>0</v>
      </c>
      <c r="T93" s="7">
        <f t="shared" si="47"/>
        <v>3.5412398275309127E-2</v>
      </c>
      <c r="U93" s="22">
        <f t="shared" si="65"/>
        <v>0</v>
      </c>
      <c r="V93" s="8">
        <f t="shared" si="52"/>
        <v>1.7679406162559537</v>
      </c>
      <c r="W93" s="8">
        <f t="shared" si="48"/>
        <v>2.9384723766150742</v>
      </c>
      <c r="X93" s="9">
        <f t="shared" si="66"/>
        <v>9.1805512523141578E-2</v>
      </c>
      <c r="Y93" s="10">
        <f t="shared" si="67"/>
        <v>1.5449348642971734</v>
      </c>
      <c r="Z93" s="8">
        <f t="shared" si="54"/>
        <v>43.399420851763971</v>
      </c>
      <c r="AA93" s="13">
        <f t="shared" si="68"/>
        <v>314.03844333211799</v>
      </c>
    </row>
    <row r="94" spans="9:27" x14ac:dyDescent="0.25">
      <c r="I94" s="1"/>
      <c r="J94" s="1"/>
      <c r="O94" s="12">
        <f t="shared" si="61"/>
        <v>10</v>
      </c>
      <c r="P94" s="11">
        <f t="shared" si="62"/>
        <v>57.885979523490619</v>
      </c>
      <c r="Q94" s="7">
        <f t="shared" si="63"/>
        <v>6.6981230164763872E-2</v>
      </c>
      <c r="R94" s="8">
        <f t="shared" si="64"/>
        <v>6.6444845728842932</v>
      </c>
      <c r="S94" s="6">
        <f t="shared" si="50"/>
        <v>0</v>
      </c>
      <c r="T94" s="7">
        <f t="shared" si="47"/>
        <v>3.5412398275309127E-2</v>
      </c>
      <c r="U94" s="22">
        <f t="shared" si="65"/>
        <v>0</v>
      </c>
      <c r="V94" s="8">
        <f t="shared" si="52"/>
        <v>1.8139919201456292</v>
      </c>
      <c r="W94" s="8">
        <f t="shared" si="48"/>
        <v>2.8965554008869523</v>
      </c>
      <c r="X94" s="9">
        <f t="shared" si="66"/>
        <v>8.490610725316991E-2</v>
      </c>
      <c r="Y94" s="10">
        <f t="shared" si="67"/>
        <v>1.5760892933688226</v>
      </c>
      <c r="Z94" s="8">
        <f t="shared" si="54"/>
        <v>44.274593138908919</v>
      </c>
      <c r="AA94" s="13">
        <f t="shared" si="68"/>
        <v>342.61191590595763</v>
      </c>
    </row>
    <row r="95" spans="9:27" x14ac:dyDescent="0.25">
      <c r="I95" s="1"/>
      <c r="J95" s="1"/>
      <c r="O95" s="12">
        <f t="shared" si="61"/>
        <v>10.5</v>
      </c>
      <c r="P95" s="11">
        <f t="shared" si="62"/>
        <v>59.252967850266657</v>
      </c>
      <c r="Q95" s="7">
        <f t="shared" si="63"/>
        <v>6.8205739972569457E-2</v>
      </c>
      <c r="R95" s="8">
        <f t="shared" si="64"/>
        <v>6.8896460114697282</v>
      </c>
      <c r="S95" s="6">
        <f t="shared" si="50"/>
        <v>0</v>
      </c>
      <c r="T95" s="7">
        <f t="shared" si="47"/>
        <v>3.5412398275309127E-2</v>
      </c>
      <c r="U95" s="22">
        <f t="shared" si="65"/>
        <v>0</v>
      </c>
      <c r="V95" s="8">
        <f t="shared" si="52"/>
        <v>1.8574006926703053</v>
      </c>
      <c r="W95" s="8">
        <f t="shared" si="48"/>
        <v>2.8573522683083179</v>
      </c>
      <c r="X95" s="9">
        <f t="shared" si="66"/>
        <v>7.8426805669592467E-2</v>
      </c>
      <c r="Y95" s="10">
        <f t="shared" si="67"/>
        <v>1.6049023920975283</v>
      </c>
      <c r="Z95" s="8">
        <f t="shared" si="54"/>
        <v>45.083994121868415</v>
      </c>
      <c r="AA95" s="13">
        <f t="shared" si="68"/>
        <v>371.89665274939694</v>
      </c>
    </row>
    <row r="96" spans="9:27" x14ac:dyDescent="0.25">
      <c r="I96" s="1"/>
      <c r="J96" s="1"/>
      <c r="O96" s="12">
        <f t="shared" si="61"/>
        <v>11</v>
      </c>
      <c r="P96" s="11">
        <f t="shared" si="62"/>
        <v>60.515639421547093</v>
      </c>
      <c r="Q96" s="7">
        <f t="shared" si="63"/>
        <v>6.9336805756223016E-2</v>
      </c>
      <c r="R96" s="8">
        <f t="shared" si="64"/>
        <v>7.1200446886972539</v>
      </c>
      <c r="S96" s="6">
        <f t="shared" si="50"/>
        <v>0</v>
      </c>
      <c r="T96" s="7">
        <f t="shared" si="47"/>
        <v>3.5412398275309127E-2</v>
      </c>
      <c r="U96" s="22">
        <f t="shared" si="65"/>
        <v>0</v>
      </c>
      <c r="V96" s="8">
        <f t="shared" si="52"/>
        <v>1.8981955412707325</v>
      </c>
      <c r="W96" s="8">
        <f t="shared" si="48"/>
        <v>2.8207682706957868</v>
      </c>
      <c r="X96" s="9">
        <f t="shared" si="66"/>
        <v>7.2357936053572353E-2</v>
      </c>
      <c r="Y96" s="10">
        <f t="shared" si="67"/>
        <v>1.6315167237144172</v>
      </c>
      <c r="Z96" s="8">
        <f t="shared" si="54"/>
        <v>45.831628604863411</v>
      </c>
      <c r="AA96" s="13">
        <f t="shared" si="68"/>
        <v>401.83880456735039</v>
      </c>
    </row>
    <row r="97" spans="9:27" x14ac:dyDescent="0.25">
      <c r="I97" s="1"/>
      <c r="J97" s="1"/>
      <c r="O97" s="12">
        <f t="shared" si="61"/>
        <v>11.5</v>
      </c>
      <c r="P97" s="11">
        <f t="shared" si="62"/>
        <v>61.680602192009609</v>
      </c>
      <c r="Q97" s="7">
        <f t="shared" si="63"/>
        <v>7.0380346736213725E-2</v>
      </c>
      <c r="R97" s="8">
        <f t="shared" si="64"/>
        <v>7.335975339137021</v>
      </c>
      <c r="S97" s="6">
        <f t="shared" si="50"/>
        <v>0</v>
      </c>
      <c r="T97" s="7">
        <f t="shared" si="47"/>
        <v>3.5412398275309127E-2</v>
      </c>
      <c r="U97" s="22">
        <f t="shared" si="65"/>
        <v>0</v>
      </c>
      <c r="V97" s="8">
        <f t="shared" si="52"/>
        <v>1.9364286522368306</v>
      </c>
      <c r="W97" s="8">
        <f t="shared" si="48"/>
        <v>2.7866979573720618</v>
      </c>
      <c r="X97" s="9">
        <f t="shared" si="66"/>
        <v>6.6687134842617721E-2</v>
      </c>
      <c r="Y97" s="10">
        <f t="shared" si="67"/>
        <v>1.6560715693287664</v>
      </c>
      <c r="Z97" s="8">
        <f t="shared" si="54"/>
        <v>46.521409192637272</v>
      </c>
      <c r="AA97" s="13">
        <f t="shared" si="68"/>
        <v>432.38786497073954</v>
      </c>
    </row>
    <row r="98" spans="9:27" x14ac:dyDescent="0.25">
      <c r="I98" s="1"/>
      <c r="J98" s="1"/>
      <c r="O98" s="12">
        <f t="shared" si="61"/>
        <v>12</v>
      </c>
      <c r="P98" s="11">
        <f t="shared" si="62"/>
        <v>62.754265062975755</v>
      </c>
      <c r="Q98" s="7">
        <f t="shared" si="63"/>
        <v>7.1342103826616557E-2</v>
      </c>
      <c r="R98" s="8">
        <f t="shared" si="64"/>
        <v>7.5378394478218578</v>
      </c>
      <c r="S98" s="6">
        <f t="shared" si="50"/>
        <v>0</v>
      </c>
      <c r="T98" s="7">
        <f t="shared" si="47"/>
        <v>3.5412398275309127E-2</v>
      </c>
      <c r="U98" s="22">
        <f t="shared" si="65"/>
        <v>0</v>
      </c>
      <c r="V98" s="8">
        <f t="shared" si="52"/>
        <v>1.9721711133080193</v>
      </c>
      <c r="W98" s="8">
        <f t="shared" si="48"/>
        <v>2.7550281381695725</v>
      </c>
      <c r="X98" s="9">
        <f t="shared" si="66"/>
        <v>6.1399949009249173E-2</v>
      </c>
      <c r="Y98" s="10">
        <f t="shared" si="67"/>
        <v>1.6787020144441633</v>
      </c>
      <c r="Z98" s="8">
        <f t="shared" si="54"/>
        <v>47.157130629393542</v>
      </c>
      <c r="AA98" s="13">
        <f t="shared" si="68"/>
        <v>463.4965817844859</v>
      </c>
    </row>
    <row r="99" spans="9:27" ht="15.75" thickBot="1" x14ac:dyDescent="0.3">
      <c r="I99" s="1"/>
      <c r="J99" s="1"/>
      <c r="O99" s="14">
        <f t="shared" si="61"/>
        <v>12.5</v>
      </c>
      <c r="P99" s="20">
        <f t="shared" si="62"/>
        <v>63.742804242024668</v>
      </c>
      <c r="Q99" s="15">
        <f t="shared" si="63"/>
        <v>7.2227609500977577E-2</v>
      </c>
      <c r="R99" s="16">
        <f t="shared" si="64"/>
        <v>7.7261216374282711</v>
      </c>
      <c r="S99" s="28">
        <f t="shared" si="50"/>
        <v>0</v>
      </c>
      <c r="T99" s="15">
        <f t="shared" si="47"/>
        <v>3.5412398275309127E-2</v>
      </c>
      <c r="U99" s="29">
        <f t="shared" si="65"/>
        <v>0</v>
      </c>
      <c r="V99" s="8">
        <f t="shared" si="52"/>
        <v>2.0055087327404673</v>
      </c>
      <c r="W99" s="8">
        <f t="shared" si="48"/>
        <v>2.7256405077992536</v>
      </c>
      <c r="X99" s="17">
        <f t="shared" si="66"/>
        <v>5.648036980490672E-2</v>
      </c>
      <c r="Y99" s="18">
        <f t="shared" si="67"/>
        <v>1.6995382398933627</v>
      </c>
      <c r="Z99" s="8">
        <f t="shared" si="54"/>
        <v>47.742449880146182</v>
      </c>
      <c r="AA99" s="19">
        <f t="shared" si="68"/>
        <v>495.120849110736</v>
      </c>
    </row>
    <row r="100" spans="9:27" ht="15.75" thickBot="1" x14ac:dyDescent="0.3">
      <c r="I100" s="1"/>
      <c r="J100" s="1"/>
      <c r="O100" s="14">
        <f t="shared" si="61"/>
        <v>13</v>
      </c>
      <c r="P100" s="20">
        <f t="shared" ref="P100:P111" si="69">P99+32.2*X99*(O100-O99)</f>
        <v>64.652138195883666</v>
      </c>
      <c r="Q100" s="15">
        <f t="shared" ref="Q100:Q111" si="70">Z100/661</f>
        <v>7.3042165355815855E-2</v>
      </c>
      <c r="R100" s="16">
        <f t="shared" ref="R100:R111" si="71">1481*Q100^2</f>
        <v>7.9013688793220576</v>
      </c>
      <c r="S100" s="28">
        <f t="shared" si="50"/>
        <v>0</v>
      </c>
      <c r="T100" s="15">
        <f t="shared" ref="T100:T111" si="72">IF(S100&lt;$P$8,S100^2/(PI()*$P$12)+$P$11,99.999)</f>
        <v>3.5412398275309127E-2</v>
      </c>
      <c r="U100" s="29">
        <f t="shared" ref="U100:U111" si="73">S100*R100*$P$13</f>
        <v>0</v>
      </c>
      <c r="V100" s="8">
        <f t="shared" ref="V100:V111" si="74">IF(T100="","",R100*T100*$P$13+$U$12*($P$10-U100))</f>
        <v>2.0365383583734284</v>
      </c>
      <c r="W100" s="8">
        <f t="shared" si="48"/>
        <v>2.6984139026822498</v>
      </c>
      <c r="X100" s="17">
        <f t="shared" ref="X100:X111" si="75">IF(T100="","",(W100-V100)/$P$10)</f>
        <v>5.1911298462471646E-2</v>
      </c>
      <c r="Y100" s="18">
        <f t="shared" ref="Y100:Y111" si="76">Q100/$U$9</f>
        <v>1.7187049939004706</v>
      </c>
      <c r="Z100" s="8">
        <f t="shared" ref="Z100:Z111" si="77">P100*3600/6080+$P$14</f>
        <v>48.280871300194278</v>
      </c>
      <c r="AA100" s="19">
        <f t="shared" ref="AA100:AA111" si="78">AA99+(P100+P99)/2*(O100-O99)</f>
        <v>527.21958472021311</v>
      </c>
    </row>
    <row r="101" spans="9:27" ht="15.75" thickBot="1" x14ac:dyDescent="0.3">
      <c r="I101" s="1"/>
      <c r="J101" s="1"/>
      <c r="O101" s="14">
        <f t="shared" si="61"/>
        <v>13.5</v>
      </c>
      <c r="P101" s="20">
        <f t="shared" si="69"/>
        <v>65.487910101129458</v>
      </c>
      <c r="Q101" s="15">
        <f t="shared" si="70"/>
        <v>7.3790826390453562E-2</v>
      </c>
      <c r="R101" s="16">
        <f t="shared" si="71"/>
        <v>8.0641724539507518</v>
      </c>
      <c r="S101" s="28">
        <f t="shared" si="50"/>
        <v>0</v>
      </c>
      <c r="T101" s="15">
        <f t="shared" si="72"/>
        <v>3.5412398275309127E-2</v>
      </c>
      <c r="U101" s="29">
        <f t="shared" si="73"/>
        <v>0</v>
      </c>
      <c r="V101" s="8">
        <f t="shared" si="74"/>
        <v>2.0653646835004049</v>
      </c>
      <c r="W101" s="8">
        <f t="shared" si="48"/>
        <v>2.6732262101482931</v>
      </c>
      <c r="X101" s="17">
        <f t="shared" si="75"/>
        <v>4.7674946453300511E-2</v>
      </c>
      <c r="Y101" s="18">
        <f t="shared" si="76"/>
        <v>1.7363212221804289</v>
      </c>
      <c r="Z101" s="8">
        <f t="shared" si="77"/>
        <v>48.775736244089806</v>
      </c>
      <c r="AA101" s="19">
        <f t="shared" si="78"/>
        <v>559.75459679446635</v>
      </c>
    </row>
    <row r="102" spans="9:27" ht="15.75" thickBot="1" x14ac:dyDescent="0.3">
      <c r="I102" s="1"/>
      <c r="J102" s="1"/>
      <c r="O102" s="14">
        <f t="shared" si="61"/>
        <v>14</v>
      </c>
      <c r="P102" s="20">
        <f t="shared" si="69"/>
        <v>66.2554767390276</v>
      </c>
      <c r="Q102" s="15">
        <f t="shared" si="70"/>
        <v>7.4478391059324814E-2</v>
      </c>
      <c r="R102" s="16">
        <f t="shared" si="71"/>
        <v>8.2151525182176428</v>
      </c>
      <c r="S102" s="28">
        <f t="shared" si="50"/>
        <v>0</v>
      </c>
      <c r="T102" s="15">
        <f t="shared" si="72"/>
        <v>3.5412398275309127E-2</v>
      </c>
      <c r="U102" s="29">
        <f t="shared" si="73"/>
        <v>0</v>
      </c>
      <c r="V102" s="8">
        <f t="shared" si="74"/>
        <v>2.0920975143376594</v>
      </c>
      <c r="W102" s="8">
        <f t="shared" si="48"/>
        <v>2.6499559558187009</v>
      </c>
      <c r="X102" s="17">
        <f t="shared" si="75"/>
        <v>4.375317430072579E-2</v>
      </c>
      <c r="Y102" s="18">
        <f t="shared" si="76"/>
        <v>1.7524998338667328</v>
      </c>
      <c r="Z102" s="8">
        <f t="shared" si="77"/>
        <v>49.230216490213706</v>
      </c>
      <c r="AA102" s="19">
        <f t="shared" si="78"/>
        <v>592.69044350450565</v>
      </c>
    </row>
    <row r="103" spans="9:27" ht="15.75" thickBot="1" x14ac:dyDescent="0.3">
      <c r="I103" s="1"/>
      <c r="J103" s="1"/>
      <c r="O103" s="14">
        <f t="shared" si="61"/>
        <v>14.5</v>
      </c>
      <c r="P103" s="20">
        <f t="shared" si="69"/>
        <v>66.959902845269283</v>
      </c>
      <c r="Q103" s="15">
        <f t="shared" si="70"/>
        <v>7.510939621062819E-2</v>
      </c>
      <c r="R103" s="16">
        <f t="shared" si="71"/>
        <v>8.354945092104316</v>
      </c>
      <c r="S103" s="28">
        <f t="shared" si="50"/>
        <v>0</v>
      </c>
      <c r="T103" s="15">
        <f t="shared" si="72"/>
        <v>3.5412398275309127E-2</v>
      </c>
      <c r="U103" s="29">
        <f t="shared" si="73"/>
        <v>0</v>
      </c>
      <c r="V103" s="8">
        <f t="shared" si="74"/>
        <v>2.1168494658496866</v>
      </c>
      <c r="W103" s="8">
        <f t="shared" si="48"/>
        <v>2.6284835985180433</v>
      </c>
      <c r="X103" s="17">
        <f t="shared" si="75"/>
        <v>4.0127773858558771E-2</v>
      </c>
      <c r="Y103" s="18">
        <f t="shared" si="76"/>
        <v>1.7673475824163407</v>
      </c>
      <c r="Z103" s="8">
        <f t="shared" si="77"/>
        <v>49.647310895225232</v>
      </c>
      <c r="AA103" s="19">
        <f t="shared" si="78"/>
        <v>625.99428840057988</v>
      </c>
    </row>
    <row r="104" spans="9:27" ht="15.75" thickBot="1" x14ac:dyDescent="0.3">
      <c r="I104" s="1"/>
      <c r="J104" s="1"/>
      <c r="O104" s="14">
        <f t="shared" si="61"/>
        <v>15</v>
      </c>
      <c r="P104" s="20">
        <f t="shared" si="69"/>
        <v>67.605960004392074</v>
      </c>
      <c r="Q104" s="15">
        <f t="shared" si="70"/>
        <v>7.5688116095979849E-2</v>
      </c>
      <c r="R104" s="16">
        <f t="shared" si="71"/>
        <v>8.4841912497927741</v>
      </c>
      <c r="S104" s="28">
        <f t="shared" si="50"/>
        <v>0</v>
      </c>
      <c r="T104" s="15">
        <f t="shared" si="72"/>
        <v>3.5412398275309127E-2</v>
      </c>
      <c r="U104" s="29">
        <f t="shared" si="73"/>
        <v>0</v>
      </c>
      <c r="V104" s="8">
        <f t="shared" si="74"/>
        <v>2.1397340479077722</v>
      </c>
      <c r="W104" s="8">
        <f t="shared" si="48"/>
        <v>2.6086925636805804</v>
      </c>
      <c r="X104" s="17">
        <f t="shared" si="75"/>
        <v>3.6780699465519609E-2</v>
      </c>
      <c r="Y104" s="18">
        <f t="shared" si="76"/>
        <v>1.7809650423065027</v>
      </c>
      <c r="Z104" s="8">
        <f t="shared" si="77"/>
        <v>50.02984473944268</v>
      </c>
      <c r="AA104" s="19">
        <f t="shared" si="78"/>
        <v>659.63575411299519</v>
      </c>
    </row>
    <row r="105" spans="9:27" ht="15.75" thickBot="1" x14ac:dyDescent="0.3">
      <c r="I105" s="1"/>
      <c r="J105" s="1"/>
      <c r="O105" s="14">
        <f t="shared" si="61"/>
        <v>15.5</v>
      </c>
      <c r="P105" s="20">
        <f t="shared" si="69"/>
        <v>68.198129265786946</v>
      </c>
      <c r="Q105" s="15">
        <f t="shared" si="70"/>
        <v>7.6218564713759304E-2</v>
      </c>
      <c r="R105" s="16">
        <f t="shared" si="71"/>
        <v>8.603528288004787</v>
      </c>
      <c r="S105" s="28">
        <f t="shared" si="50"/>
        <v>0</v>
      </c>
      <c r="T105" s="15">
        <f t="shared" si="72"/>
        <v>3.5412398275309127E-2</v>
      </c>
      <c r="U105" s="29">
        <f t="shared" si="73"/>
        <v>0</v>
      </c>
      <c r="V105" s="8">
        <f t="shared" si="74"/>
        <v>2.1608641015385701</v>
      </c>
      <c r="W105" s="8">
        <f t="shared" si="48"/>
        <v>2.5904700463774466</v>
      </c>
      <c r="X105" s="17">
        <f t="shared" si="75"/>
        <v>3.3694253573112141E-2</v>
      </c>
      <c r="Y105" s="18">
        <f t="shared" si="76"/>
        <v>1.7934466641744196</v>
      </c>
      <c r="Z105" s="8">
        <f t="shared" si="77"/>
        <v>50.380471275794903</v>
      </c>
      <c r="AA105" s="19">
        <f t="shared" si="78"/>
        <v>693.58677643053989</v>
      </c>
    </row>
    <row r="106" spans="9:27" ht="15.75" thickBot="1" x14ac:dyDescent="0.3">
      <c r="I106" s="1"/>
      <c r="J106" s="1"/>
      <c r="O106" s="14">
        <f t="shared" si="61"/>
        <v>16</v>
      </c>
      <c r="P106" s="20">
        <f t="shared" si="69"/>
        <v>68.74060674831405</v>
      </c>
      <c r="Q106" s="15">
        <f t="shared" si="70"/>
        <v>7.670450082956709E-2</v>
      </c>
      <c r="R106" s="16">
        <f t="shared" si="71"/>
        <v>8.7135826427668395</v>
      </c>
      <c r="S106" s="28">
        <f t="shared" si="50"/>
        <v>0</v>
      </c>
      <c r="T106" s="15">
        <f t="shared" si="72"/>
        <v>3.5412398275309127E-2</v>
      </c>
      <c r="U106" s="29">
        <f t="shared" si="73"/>
        <v>0</v>
      </c>
      <c r="V106" s="8">
        <f t="shared" si="74"/>
        <v>2.1803505447523999</v>
      </c>
      <c r="W106" s="8">
        <f t="shared" ref="W106:W134" si="79">$P$9*($G$34*Z106^2+$G$35*Z106+$G$36)</f>
        <v>2.5737076141743453</v>
      </c>
      <c r="X106" s="17">
        <f t="shared" si="75"/>
        <v>3.0851232393560492E-2</v>
      </c>
      <c r="Y106" s="18">
        <f t="shared" si="76"/>
        <v>1.8048808929501816</v>
      </c>
      <c r="Z106" s="8">
        <f t="shared" si="77"/>
        <v>50.701675048343844</v>
      </c>
      <c r="AA106" s="19">
        <f t="shared" si="78"/>
        <v>727.8214604340651</v>
      </c>
    </row>
    <row r="107" spans="9:27" ht="15.75" thickBot="1" x14ac:dyDescent="0.3">
      <c r="I107" s="1"/>
      <c r="J107" s="1"/>
      <c r="O107" s="14">
        <f t="shared" si="61"/>
        <v>16.5</v>
      </c>
      <c r="P107" s="20">
        <f t="shared" si="69"/>
        <v>69.237311589850378</v>
      </c>
      <c r="Q107" s="15">
        <f t="shared" si="70"/>
        <v>7.7149435097206523E-2</v>
      </c>
      <c r="R107" s="16">
        <f t="shared" si="71"/>
        <v>8.8149643323465785</v>
      </c>
      <c r="S107" s="28">
        <f t="shared" si="50"/>
        <v>0</v>
      </c>
      <c r="T107" s="15">
        <f t="shared" si="72"/>
        <v>3.5412398275309127E-2</v>
      </c>
      <c r="U107" s="29">
        <f t="shared" si="73"/>
        <v>0</v>
      </c>
      <c r="V107" s="8">
        <f t="shared" si="74"/>
        <v>2.1983013885985074</v>
      </c>
      <c r="W107" s="8">
        <f t="shared" si="79"/>
        <v>2.5583016383632993</v>
      </c>
      <c r="X107" s="17">
        <f t="shared" si="75"/>
        <v>2.8235036892955308E-2</v>
      </c>
      <c r="Y107" s="18">
        <f t="shared" si="76"/>
        <v>1.8153503354156966</v>
      </c>
      <c r="Z107" s="8">
        <f t="shared" si="77"/>
        <v>50.99577659925351</v>
      </c>
      <c r="AA107" s="19">
        <f t="shared" si="78"/>
        <v>762.31594001860617</v>
      </c>
    </row>
    <row r="108" spans="9:27" ht="15.75" thickBot="1" x14ac:dyDescent="0.3">
      <c r="I108" s="1"/>
      <c r="J108" s="1"/>
      <c r="O108" s="14">
        <f t="shared" si="61"/>
        <v>17</v>
      </c>
      <c r="P108" s="20">
        <f t="shared" si="69"/>
        <v>69.691895683826957</v>
      </c>
      <c r="Q108" s="15">
        <f t="shared" si="70"/>
        <v>7.7556638780400769E-2</v>
      </c>
      <c r="R108" s="16">
        <f t="shared" si="71"/>
        <v>8.908262716210988</v>
      </c>
      <c r="S108" s="28">
        <f t="shared" si="50"/>
        <v>0</v>
      </c>
      <c r="T108" s="15">
        <f t="shared" si="72"/>
        <v>3.5412398275309127E-2</v>
      </c>
      <c r="U108" s="29">
        <f t="shared" si="73"/>
        <v>0</v>
      </c>
      <c r="V108" s="8">
        <f t="shared" si="74"/>
        <v>2.2148209862377528</v>
      </c>
      <c r="W108" s="8">
        <f t="shared" si="79"/>
        <v>2.5441535799621384</v>
      </c>
      <c r="X108" s="17">
        <f t="shared" si="75"/>
        <v>2.5829754118048692E-2</v>
      </c>
      <c r="Y108" s="18">
        <f t="shared" si="76"/>
        <v>1.8249319654294198</v>
      </c>
      <c r="Z108" s="8">
        <f t="shared" si="77"/>
        <v>51.264938233844909</v>
      </c>
      <c r="AA108" s="19">
        <f t="shared" si="78"/>
        <v>797.04824183702544</v>
      </c>
    </row>
    <row r="109" spans="9:27" ht="15.75" thickBot="1" x14ac:dyDescent="0.3">
      <c r="I109" s="1"/>
      <c r="J109" s="1"/>
      <c r="O109" s="14">
        <f t="shared" si="61"/>
        <v>17.5</v>
      </c>
      <c r="P109" s="20">
        <f t="shared" si="69"/>
        <v>70.107754725127535</v>
      </c>
      <c r="Q109" s="15">
        <f t="shared" si="70"/>
        <v>7.7929153647399066E-2</v>
      </c>
      <c r="R109" s="16">
        <f t="shared" si="71"/>
        <v>8.9940433755240985</v>
      </c>
      <c r="S109" s="28">
        <f t="shared" si="50"/>
        <v>0</v>
      </c>
      <c r="T109" s="15">
        <f t="shared" si="72"/>
        <v>3.5412398275309127E-2</v>
      </c>
      <c r="U109" s="29">
        <f t="shared" si="73"/>
        <v>0</v>
      </c>
      <c r="V109" s="8">
        <f t="shared" si="74"/>
        <v>2.2300094805973254</v>
      </c>
      <c r="W109" s="8">
        <f t="shared" si="79"/>
        <v>2.5311701544527967</v>
      </c>
      <c r="X109" s="17">
        <f t="shared" si="75"/>
        <v>2.362021343755228E-2</v>
      </c>
      <c r="Y109" s="18">
        <f t="shared" si="76"/>
        <v>1.8336973567495329</v>
      </c>
      <c r="Z109" s="8">
        <f t="shared" si="77"/>
        <v>51.511170560930779</v>
      </c>
      <c r="AA109" s="19">
        <f t="shared" si="78"/>
        <v>831.99815443926411</v>
      </c>
    </row>
    <row r="110" spans="9:27" ht="15.75" thickBot="1" x14ac:dyDescent="0.3">
      <c r="I110" s="1"/>
      <c r="J110" s="1"/>
      <c r="O110" s="14">
        <f t="shared" si="61"/>
        <v>18</v>
      </c>
      <c r="P110" s="20">
        <f t="shared" si="69"/>
        <v>70.488040161472128</v>
      </c>
      <c r="Q110" s="15">
        <f t="shared" si="70"/>
        <v>7.8269802676690939E-2</v>
      </c>
      <c r="R110" s="16">
        <f t="shared" si="71"/>
        <v>9.0728459383622901</v>
      </c>
      <c r="S110" s="28">
        <f t="shared" si="50"/>
        <v>0</v>
      </c>
      <c r="T110" s="15">
        <f t="shared" si="72"/>
        <v>3.5412398275309127E-2</v>
      </c>
      <c r="U110" s="29">
        <f t="shared" si="73"/>
        <v>0</v>
      </c>
      <c r="V110" s="8">
        <f t="shared" si="74"/>
        <v>2.2439624192990308</v>
      </c>
      <c r="W110" s="8">
        <f t="shared" si="79"/>
        <v>2.5192633966959002</v>
      </c>
      <c r="X110" s="17">
        <f t="shared" si="75"/>
        <v>2.1592021834834507E-2</v>
      </c>
      <c r="Y110" s="18">
        <f t="shared" si="76"/>
        <v>1.8417129349427481</v>
      </c>
      <c r="Z110" s="8">
        <f t="shared" si="77"/>
        <v>51.73633956929271</v>
      </c>
      <c r="AA110" s="19">
        <f t="shared" si="78"/>
        <v>867.14710316091407</v>
      </c>
    </row>
    <row r="111" spans="9:27" ht="15.75" thickBot="1" x14ac:dyDescent="0.3">
      <c r="I111" s="1"/>
      <c r="J111" s="1"/>
      <c r="O111" s="14">
        <f t="shared" si="61"/>
        <v>18.5</v>
      </c>
      <c r="P111" s="20">
        <f t="shared" si="69"/>
        <v>70.835671713012957</v>
      </c>
      <c r="Q111" s="15">
        <f t="shared" si="70"/>
        <v>7.85812012717092E-2</v>
      </c>
      <c r="R111" s="16">
        <f t="shared" si="71"/>
        <v>9.145182691284516</v>
      </c>
      <c r="S111" s="28">
        <f t="shared" si="50"/>
        <v>0</v>
      </c>
      <c r="T111" s="15">
        <f t="shared" si="72"/>
        <v>3.5412398275309127E-2</v>
      </c>
      <c r="U111" s="29">
        <f t="shared" si="73"/>
        <v>0</v>
      </c>
      <c r="V111" s="8">
        <f t="shared" si="74"/>
        <v>2.2567705088211536</v>
      </c>
      <c r="W111" s="8">
        <f t="shared" si="79"/>
        <v>2.5083506449340334</v>
      </c>
      <c r="X111" s="17">
        <f t="shared" si="75"/>
        <v>1.9731581934520622E-2</v>
      </c>
      <c r="Y111" s="18">
        <f t="shared" si="76"/>
        <v>1.8490402412697757</v>
      </c>
      <c r="Z111" s="8">
        <f t="shared" si="77"/>
        <v>51.942174040599781</v>
      </c>
      <c r="AA111" s="19">
        <f t="shared" si="78"/>
        <v>902.47803112953534</v>
      </c>
    </row>
    <row r="112" spans="9:27" ht="15.75" thickBot="1" x14ac:dyDescent="0.3">
      <c r="I112" s="1"/>
      <c r="J112" s="1"/>
      <c r="O112" s="14">
        <f t="shared" si="61"/>
        <v>19</v>
      </c>
      <c r="P112" s="20">
        <f t="shared" ref="P112:P114" si="80">P111+32.2*X111*(O112-O111)</f>
        <v>71.153350182158732</v>
      </c>
      <c r="Q112" s="15">
        <f t="shared" ref="Q112:Q114" si="81">Z112/661</f>
        <v>7.8865768735511238E-2</v>
      </c>
      <c r="R112" s="16">
        <f t="shared" ref="R112:R114" si="82">1481*Q112^2</f>
        <v>9.2115378372780938</v>
      </c>
      <c r="S112" s="28">
        <f t="shared" si="50"/>
        <v>0</v>
      </c>
      <c r="T112" s="15">
        <f t="shared" ref="T112:T114" si="83">IF(S112&lt;$P$8,S112^2/(PI()*$P$12)+$P$11,99.999)</f>
        <v>3.5412398275309127E-2</v>
      </c>
      <c r="U112" s="29">
        <f t="shared" ref="U112:U114" si="84">S112*R112*$P$13</f>
        <v>0</v>
      </c>
      <c r="V112" s="8">
        <f t="shared" ref="V112:V114" si="85">IF(T112="","",R112*T112*$P$13+$U$12*($P$10-U112))</f>
        <v>2.2685194831088578</v>
      </c>
      <c r="W112" s="8">
        <f t="shared" si="79"/>
        <v>2.4983544603640979</v>
      </c>
      <c r="X112" s="17">
        <f t="shared" ref="X112:X114" si="86">IF(T112="","",(W112-V112)/$P$10)</f>
        <v>1.8026095999469822E-2</v>
      </c>
      <c r="Y112" s="18">
        <f t="shared" ref="Y112:Y114" si="87">Q112/$U$9</f>
        <v>1.8557362026881652</v>
      </c>
      <c r="Z112" s="8">
        <f t="shared" ref="Z112:Z114" si="88">P112*3600/6080+$P$14</f>
        <v>52.130273134172931</v>
      </c>
      <c r="AA112" s="19">
        <f t="shared" ref="AA112:AA114" si="89">AA111+(P112+P111)/2*(O112-O111)</f>
        <v>937.9752866033283</v>
      </c>
    </row>
    <row r="113" spans="9:27" ht="15.75" thickBot="1" x14ac:dyDescent="0.3">
      <c r="I113" s="1"/>
      <c r="J113" s="1"/>
      <c r="O113" s="14">
        <f t="shared" si="61"/>
        <v>19.5</v>
      </c>
      <c r="P113" s="20">
        <f t="shared" si="80"/>
        <v>71.443570327750194</v>
      </c>
      <c r="Q113" s="15">
        <f t="shared" si="81"/>
        <v>7.9125739803104528E-2</v>
      </c>
      <c r="R113" s="16">
        <f t="shared" si="82"/>
        <v>9.2723672777945172</v>
      </c>
      <c r="S113" s="28">
        <f t="shared" si="50"/>
        <v>0</v>
      </c>
      <c r="T113" s="15">
        <f t="shared" si="83"/>
        <v>3.5412398275309127E-2</v>
      </c>
      <c r="U113" s="29">
        <f t="shared" si="84"/>
        <v>0</v>
      </c>
      <c r="V113" s="8">
        <f t="shared" si="85"/>
        <v>2.279290064981017</v>
      </c>
      <c r="W113" s="8">
        <f t="shared" si="79"/>
        <v>2.4892024964766732</v>
      </c>
      <c r="X113" s="17">
        <f t="shared" si="86"/>
        <v>1.6463558709868036E-2</v>
      </c>
      <c r="Y113" s="18">
        <f t="shared" si="87"/>
        <v>1.861853403211529</v>
      </c>
      <c r="Z113" s="8">
        <f t="shared" si="88"/>
        <v>52.30211400985209</v>
      </c>
      <c r="AA113" s="19">
        <f t="shared" si="89"/>
        <v>973.62451673080557</v>
      </c>
    </row>
    <row r="114" spans="9:27" ht="15.75" thickBot="1" x14ac:dyDescent="0.3">
      <c r="I114" s="1"/>
      <c r="J114" s="1"/>
      <c r="O114" s="14">
        <f t="shared" si="61"/>
        <v>20</v>
      </c>
      <c r="P114" s="20">
        <f t="shared" si="80"/>
        <v>71.708633622979065</v>
      </c>
      <c r="Q114" s="15">
        <f t="shared" si="81"/>
        <v>7.9363176069632488E-2</v>
      </c>
      <c r="R114" s="16">
        <f t="shared" si="82"/>
        <v>9.3280988131878999</v>
      </c>
      <c r="S114" s="28">
        <f t="shared" si="50"/>
        <v>0</v>
      </c>
      <c r="T114" s="15">
        <f t="shared" si="83"/>
        <v>3.5412398275309127E-2</v>
      </c>
      <c r="U114" s="29">
        <f t="shared" si="84"/>
        <v>0</v>
      </c>
      <c r="V114" s="8">
        <f t="shared" si="85"/>
        <v>2.2891580016202413</v>
      </c>
      <c r="W114" s="8">
        <f t="shared" si="79"/>
        <v>2.4808273302615289</v>
      </c>
      <c r="X114" s="17">
        <f t="shared" si="86"/>
        <v>1.5032741141070192E-2</v>
      </c>
      <c r="Y114" s="18">
        <f t="shared" si="87"/>
        <v>1.8674403528183317</v>
      </c>
      <c r="Z114" s="8">
        <f t="shared" si="88"/>
        <v>52.459059382027078</v>
      </c>
      <c r="AA114" s="19">
        <f t="shared" si="89"/>
        <v>1009.4125677184879</v>
      </c>
    </row>
    <row r="115" spans="9:27" ht="15.75" thickBot="1" x14ac:dyDescent="0.3">
      <c r="I115" s="1"/>
      <c r="J115" s="1"/>
      <c r="O115" s="14">
        <f t="shared" si="61"/>
        <v>20.5</v>
      </c>
      <c r="P115" s="20">
        <f t="shared" ref="P115:P134" si="90">P114+32.2*X114*(O115-O114)</f>
        <v>71.950660755350299</v>
      </c>
      <c r="Q115" s="15">
        <f t="shared" ref="Q115:Q134" si="91">Z115/661</f>
        <v>7.9579977187490311E-2</v>
      </c>
      <c r="R115" s="16">
        <f t="shared" ref="R115:R134" si="92">1481*Q115^2</f>
        <v>9.3791326711281489</v>
      </c>
      <c r="S115" s="28">
        <f t="shared" si="50"/>
        <v>0</v>
      </c>
      <c r="T115" s="15">
        <f t="shared" ref="T115:T134" si="93">IF(S115&lt;$P$8,S115^2/(PI()*$P$12)+$P$11,99.999)</f>
        <v>3.5412398275309127E-2</v>
      </c>
      <c r="U115" s="29">
        <f t="shared" ref="U115:U134" si="94">S115*R115*$P$13</f>
        <v>0</v>
      </c>
      <c r="V115" s="8">
        <f t="shared" ref="V115:V134" si="95">IF(T115="","",R115*T115*$P$13+$U$12*($P$10-U115))</f>
        <v>2.2981941581347698</v>
      </c>
      <c r="W115" s="8">
        <f t="shared" si="79"/>
        <v>2.4731662654807902</v>
      </c>
      <c r="X115" s="17">
        <f t="shared" ref="X115:X134" si="96">IF(T115="","",(W115-V115)/$P$10)</f>
        <v>1.3723167996080071E-2</v>
      </c>
      <c r="Y115" s="18">
        <f t="shared" ref="Y115:Y134" si="97">Q115/$U$9</f>
        <v>1.8725417509235258</v>
      </c>
      <c r="Z115" s="8">
        <f t="shared" ref="Z115:Z134" si="98">P115*3600/6080+$P$14</f>
        <v>52.602364920931095</v>
      </c>
      <c r="AA115" s="19">
        <f t="shared" ref="AA115:AA134" si="99">AA114+(P115+P114)/2*(O115-O114)</f>
        <v>1045.3273913130702</v>
      </c>
    </row>
    <row r="116" spans="9:27" ht="15.75" thickBot="1" x14ac:dyDescent="0.3">
      <c r="I116" s="1"/>
      <c r="J116" s="1"/>
      <c r="O116" s="14">
        <f t="shared" si="61"/>
        <v>21</v>
      </c>
      <c r="P116" s="20">
        <f t="shared" si="90"/>
        <v>72.171603760087194</v>
      </c>
      <c r="Q116" s="15">
        <f t="shared" si="91"/>
        <v>7.9777891735088854E-2</v>
      </c>
      <c r="R116" s="16">
        <f t="shared" si="92"/>
        <v>9.4258422863591225</v>
      </c>
      <c r="S116" s="28">
        <f t="shared" si="50"/>
        <v>0</v>
      </c>
      <c r="T116" s="15">
        <f t="shared" si="93"/>
        <v>3.5412398275309127E-2</v>
      </c>
      <c r="U116" s="29">
        <f t="shared" si="94"/>
        <v>0</v>
      </c>
      <c r="V116" s="8">
        <f t="shared" si="95"/>
        <v>2.3064646556239983</v>
      </c>
      <c r="W116" s="8">
        <f t="shared" si="79"/>
        <v>2.4661611165198063</v>
      </c>
      <c r="X116" s="17">
        <f t="shared" si="96"/>
        <v>1.2525089824280782E-2</v>
      </c>
      <c r="Y116" s="18">
        <f t="shared" si="97"/>
        <v>1.8771987421239666</v>
      </c>
      <c r="Z116" s="8">
        <f t="shared" si="98"/>
        <v>52.733186436893732</v>
      </c>
      <c r="AA116" s="19">
        <f t="shared" si="99"/>
        <v>1081.3579574419296</v>
      </c>
    </row>
    <row r="117" spans="9:27" ht="15.75" thickBot="1" x14ac:dyDescent="0.3">
      <c r="I117" s="1"/>
      <c r="J117" s="1"/>
      <c r="O117" s="14">
        <f t="shared" si="61"/>
        <v>21.5</v>
      </c>
      <c r="P117" s="20">
        <f t="shared" si="90"/>
        <v>72.373257706258116</v>
      </c>
      <c r="Q117" s="15">
        <f t="shared" si="91"/>
        <v>7.9958527684959299E-2</v>
      </c>
      <c r="R117" s="16">
        <f t="shared" si="92"/>
        <v>9.4685752674782222</v>
      </c>
      <c r="S117" s="28">
        <f t="shared" si="50"/>
        <v>0</v>
      </c>
      <c r="T117" s="15">
        <f t="shared" si="93"/>
        <v>3.5412398275309127E-2</v>
      </c>
      <c r="U117" s="29">
        <f t="shared" si="94"/>
        <v>0</v>
      </c>
      <c r="V117" s="8">
        <f t="shared" si="95"/>
        <v>2.3140310423584025</v>
      </c>
      <c r="W117" s="8">
        <f t="shared" si="79"/>
        <v>2.4597579798364912</v>
      </c>
      <c r="X117" s="17">
        <f t="shared" si="96"/>
        <v>1.1429451670323916E-2</v>
      </c>
      <c r="Y117" s="18">
        <f t="shared" si="97"/>
        <v>1.8814491625161869</v>
      </c>
      <c r="Z117" s="8">
        <f t="shared" si="98"/>
        <v>52.852586799758093</v>
      </c>
      <c r="AA117" s="19">
        <f t="shared" si="99"/>
        <v>1117.4941728085159</v>
      </c>
    </row>
    <row r="118" spans="9:27" ht="15.75" thickBot="1" x14ac:dyDescent="0.3">
      <c r="I118" s="1"/>
      <c r="J118" s="1"/>
      <c r="O118" s="14">
        <f t="shared" si="61"/>
        <v>22</v>
      </c>
      <c r="P118" s="20">
        <f t="shared" si="90"/>
        <v>72.557271878150331</v>
      </c>
      <c r="Q118" s="15">
        <f t="shared" si="91"/>
        <v>8.0123362419714239E-2</v>
      </c>
      <c r="R118" s="16">
        <f t="shared" si="92"/>
        <v>9.5076544972579384</v>
      </c>
      <c r="S118" s="28">
        <f t="shared" si="50"/>
        <v>0</v>
      </c>
      <c r="T118" s="15">
        <f t="shared" si="93"/>
        <v>3.5412398275309127E-2</v>
      </c>
      <c r="U118" s="29">
        <f t="shared" si="94"/>
        <v>0</v>
      </c>
      <c r="V118" s="8">
        <f t="shared" si="95"/>
        <v>2.3209504886046606</v>
      </c>
      <c r="W118" s="8">
        <f t="shared" si="79"/>
        <v>2.4539069987330677</v>
      </c>
      <c r="X118" s="17">
        <f t="shared" si="96"/>
        <v>1.0427859344783455E-2</v>
      </c>
      <c r="Y118" s="18">
        <f t="shared" si="97"/>
        <v>1.8853277753750952</v>
      </c>
      <c r="Z118" s="8">
        <f t="shared" si="98"/>
        <v>52.961542559431116</v>
      </c>
      <c r="AA118" s="19">
        <f t="shared" si="99"/>
        <v>1153.7268052046181</v>
      </c>
    </row>
    <row r="119" spans="9:27" ht="15.75" thickBot="1" x14ac:dyDescent="0.3">
      <c r="I119" s="1"/>
      <c r="J119" s="1"/>
      <c r="O119" s="14">
        <f t="shared" si="61"/>
        <v>22.5</v>
      </c>
      <c r="P119" s="20">
        <f t="shared" si="90"/>
        <v>72.725160413601344</v>
      </c>
      <c r="Q119" s="15">
        <f t="shared" si="91"/>
        <v>8.0273752261566605E-2</v>
      </c>
      <c r="R119" s="16">
        <f t="shared" si="92"/>
        <v>9.543379322486178</v>
      </c>
      <c r="S119" s="28">
        <f t="shared" si="50"/>
        <v>0</v>
      </c>
      <c r="T119" s="15">
        <f t="shared" si="93"/>
        <v>3.5412398275309127E-2</v>
      </c>
      <c r="U119" s="29">
        <f t="shared" si="94"/>
        <v>0</v>
      </c>
      <c r="V119" s="8">
        <f t="shared" si="95"/>
        <v>2.3272759973011516</v>
      </c>
      <c r="W119" s="8">
        <f t="shared" si="79"/>
        <v>2.4485621260560633</v>
      </c>
      <c r="X119" s="17">
        <f t="shared" si="96"/>
        <v>9.512544289166704E-3</v>
      </c>
      <c r="Y119" s="18">
        <f t="shared" si="97"/>
        <v>1.8888664953865355</v>
      </c>
      <c r="Z119" s="8">
        <f t="shared" si="98"/>
        <v>53.06095024489553</v>
      </c>
      <c r="AA119" s="19">
        <f t="shared" si="99"/>
        <v>1190.047413277556</v>
      </c>
    </row>
    <row r="120" spans="9:27" ht="15.75" thickBot="1" x14ac:dyDescent="0.3">
      <c r="I120" s="1"/>
      <c r="J120" s="1"/>
      <c r="O120" s="14">
        <f t="shared" si="61"/>
        <v>23</v>
      </c>
      <c r="P120" s="20">
        <f t="shared" si="90"/>
        <v>72.878312376656922</v>
      </c>
      <c r="Q120" s="15">
        <f t="shared" si="91"/>
        <v>8.0410941495134211E-2</v>
      </c>
      <c r="R120" s="16">
        <f t="shared" si="92"/>
        <v>9.5760267974703002</v>
      </c>
      <c r="S120" s="28">
        <f t="shared" si="50"/>
        <v>0</v>
      </c>
      <c r="T120" s="15">
        <f t="shared" si="93"/>
        <v>3.5412398275309127E-2</v>
      </c>
      <c r="U120" s="29">
        <f t="shared" si="94"/>
        <v>0</v>
      </c>
      <c r="V120" s="8">
        <f t="shared" si="95"/>
        <v>2.3330566242352564</v>
      </c>
      <c r="W120" s="8">
        <f t="shared" si="79"/>
        <v>2.4436808884753134</v>
      </c>
      <c r="X120" s="17">
        <f t="shared" si="96"/>
        <v>8.6763278195356522E-3</v>
      </c>
      <c r="Y120" s="18">
        <f t="shared" si="97"/>
        <v>1.8920946009567006</v>
      </c>
      <c r="Z120" s="8">
        <f t="shared" si="98"/>
        <v>53.151632328283711</v>
      </c>
      <c r="AA120" s="19">
        <f t="shared" si="99"/>
        <v>1226.4482814751204</v>
      </c>
    </row>
    <row r="121" spans="9:27" ht="15.75" thickBot="1" x14ac:dyDescent="0.3">
      <c r="I121" s="1"/>
      <c r="J121" s="1"/>
      <c r="O121" s="14">
        <f t="shared" si="61"/>
        <v>23.5</v>
      </c>
      <c r="P121" s="20">
        <f t="shared" si="90"/>
        <v>73.01800125455145</v>
      </c>
      <c r="Q121" s="15">
        <f t="shared" si="91"/>
        <v>8.0536070874568336E-2</v>
      </c>
      <c r="R121" s="16">
        <f t="shared" si="92"/>
        <v>9.605852952343886</v>
      </c>
      <c r="S121" s="28">
        <f t="shared" si="50"/>
        <v>0</v>
      </c>
      <c r="T121" s="15">
        <f t="shared" si="93"/>
        <v>3.5412398275309127E-2</v>
      </c>
      <c r="U121" s="29">
        <f t="shared" si="94"/>
        <v>0</v>
      </c>
      <c r="V121" s="8">
        <f t="shared" si="95"/>
        <v>2.3383377026122787</v>
      </c>
      <c r="W121" s="8">
        <f t="shared" si="79"/>
        <v>2.4392241551841551</v>
      </c>
      <c r="X121" s="17">
        <f t="shared" si="96"/>
        <v>7.9125853724474424E-3</v>
      </c>
      <c r="Y121" s="18">
        <f t="shared" si="97"/>
        <v>1.8950389343875271</v>
      </c>
      <c r="Z121" s="8">
        <f t="shared" si="98"/>
        <v>53.234342848089668</v>
      </c>
      <c r="AA121" s="19">
        <f t="shared" si="99"/>
        <v>1262.9223598829226</v>
      </c>
    </row>
    <row r="122" spans="9:27" ht="15.75" thickBot="1" x14ac:dyDescent="0.3">
      <c r="I122" s="1"/>
      <c r="J122" s="1"/>
      <c r="O122" s="14">
        <f t="shared" si="61"/>
        <v>24</v>
      </c>
      <c r="P122" s="20">
        <f t="shared" si="90"/>
        <v>73.145393879047859</v>
      </c>
      <c r="Q122" s="15">
        <f t="shared" si="91"/>
        <v>8.0650185615040088E-2</v>
      </c>
      <c r="R122" s="16">
        <f t="shared" si="92"/>
        <v>9.6330940632555606</v>
      </c>
      <c r="S122" s="28">
        <f t="shared" si="50"/>
        <v>0</v>
      </c>
      <c r="T122" s="15">
        <f t="shared" si="93"/>
        <v>3.5412398275309127E-2</v>
      </c>
      <c r="U122" s="29">
        <f t="shared" si="94"/>
        <v>0</v>
      </c>
      <c r="V122" s="8">
        <f t="shared" si="95"/>
        <v>2.3431610679576091</v>
      </c>
      <c r="W122" s="8">
        <f t="shared" si="79"/>
        <v>2.4351559131841931</v>
      </c>
      <c r="X122" s="17">
        <f t="shared" si="96"/>
        <v>7.2152112411904947E-3</v>
      </c>
      <c r="Y122" s="18">
        <f t="shared" si="97"/>
        <v>1.8977240899188705</v>
      </c>
      <c r="Z122" s="8">
        <f t="shared" si="98"/>
        <v>53.309772691541497</v>
      </c>
      <c r="AA122" s="19">
        <f t="shared" si="99"/>
        <v>1299.4632086663223</v>
      </c>
    </row>
    <row r="123" spans="9:27" ht="15.75" thickBot="1" x14ac:dyDescent="0.3">
      <c r="I123" s="1"/>
      <c r="J123" s="1"/>
      <c r="O123" s="14">
        <f t="shared" si="61"/>
        <v>24.5</v>
      </c>
      <c r="P123" s="20">
        <f t="shared" si="90"/>
        <v>73.261558780031024</v>
      </c>
      <c r="Q123" s="15">
        <f t="shared" si="91"/>
        <v>8.0754242875654844E-2</v>
      </c>
      <c r="R123" s="16">
        <f t="shared" si="92"/>
        <v>9.6579679065243926</v>
      </c>
      <c r="S123" s="28">
        <f t="shared" si="50"/>
        <v>0</v>
      </c>
      <c r="T123" s="15">
        <f t="shared" si="93"/>
        <v>3.5412398275309127E-2</v>
      </c>
      <c r="U123" s="29">
        <f t="shared" si="94"/>
        <v>0</v>
      </c>
      <c r="V123" s="8">
        <f t="shared" si="95"/>
        <v>2.3475652801799765</v>
      </c>
      <c r="W123" s="8">
        <f t="shared" si="79"/>
        <v>2.431443050753253</v>
      </c>
      <c r="X123" s="17">
        <f t="shared" si="96"/>
        <v>6.5785841764905437E-3</v>
      </c>
      <c r="Y123" s="18">
        <f t="shared" si="97"/>
        <v>1.90017258980382</v>
      </c>
      <c r="Z123" s="8">
        <f t="shared" si="98"/>
        <v>53.378554540807848</v>
      </c>
      <c r="AA123" s="19">
        <f t="shared" si="99"/>
        <v>1336.0649468310921</v>
      </c>
    </row>
    <row r="124" spans="9:27" ht="15.75" thickBot="1" x14ac:dyDescent="0.3">
      <c r="I124" s="1"/>
      <c r="J124" s="1"/>
      <c r="O124" s="14">
        <f t="shared" si="61"/>
        <v>25</v>
      </c>
      <c r="P124" s="20">
        <f t="shared" si="90"/>
        <v>73.367473985272525</v>
      </c>
      <c r="Q124" s="15">
        <f t="shared" si="91"/>
        <v>8.084911874626291E-2</v>
      </c>
      <c r="R124" s="16">
        <f t="shared" si="92"/>
        <v>9.6806749830320822</v>
      </c>
      <c r="S124" s="28">
        <f t="shared" si="50"/>
        <v>0</v>
      </c>
      <c r="T124" s="15">
        <f t="shared" si="93"/>
        <v>3.5412398275309127E-2</v>
      </c>
      <c r="U124" s="29">
        <f t="shared" si="94"/>
        <v>0</v>
      </c>
      <c r="V124" s="8">
        <f t="shared" si="95"/>
        <v>2.3515858403647676</v>
      </c>
      <c r="W124" s="8">
        <f t="shared" si="79"/>
        <v>2.4280551502291638</v>
      </c>
      <c r="X124" s="17">
        <f t="shared" si="96"/>
        <v>5.9975341311866558E-3</v>
      </c>
      <c r="Y124" s="18">
        <f t="shared" si="97"/>
        <v>1.9024050487105404</v>
      </c>
      <c r="Z124" s="8">
        <f t="shared" si="98"/>
        <v>53.441267491279781</v>
      </c>
      <c r="AA124" s="19">
        <f t="shared" si="99"/>
        <v>1372.7222050224179</v>
      </c>
    </row>
    <row r="125" spans="9:27" ht="15.75" thickBot="1" x14ac:dyDescent="0.3">
      <c r="I125" s="1"/>
      <c r="J125" s="1"/>
      <c r="O125" s="14">
        <f t="shared" si="61"/>
        <v>25.5</v>
      </c>
      <c r="P125" s="20">
        <f t="shared" si="90"/>
        <v>73.464034284784631</v>
      </c>
      <c r="Q125" s="15">
        <f t="shared" si="91"/>
        <v>8.093561475466414E-2</v>
      </c>
      <c r="R125" s="16">
        <f t="shared" si="92"/>
        <v>9.701399702594518</v>
      </c>
      <c r="S125" s="28">
        <f t="shared" si="50"/>
        <v>0</v>
      </c>
      <c r="T125" s="15">
        <f t="shared" si="93"/>
        <v>3.5412398275309127E-2</v>
      </c>
      <c r="U125" s="29">
        <f t="shared" si="94"/>
        <v>0</v>
      </c>
      <c r="V125" s="8">
        <f t="shared" si="95"/>
        <v>2.3552554004812127</v>
      </c>
      <c r="W125" s="8">
        <f t="shared" si="79"/>
        <v>2.4249642908613893</v>
      </c>
      <c r="X125" s="17">
        <f t="shared" si="96"/>
        <v>5.4673103503045323E-3</v>
      </c>
      <c r="Y125" s="18">
        <f t="shared" si="97"/>
        <v>1.9044403268388308</v>
      </c>
      <c r="Z125" s="8">
        <f t="shared" si="98"/>
        <v>53.498441352832998</v>
      </c>
      <c r="AA125" s="19">
        <f t="shared" si="99"/>
        <v>1409.4300820899323</v>
      </c>
    </row>
    <row r="126" spans="9:27" ht="15.75" thickBot="1" x14ac:dyDescent="0.3">
      <c r="I126" s="1"/>
      <c r="J126" s="1"/>
      <c r="O126" s="14">
        <f t="shared" si="61"/>
        <v>26</v>
      </c>
      <c r="P126" s="20">
        <f t="shared" si="90"/>
        <v>73.552057981424539</v>
      </c>
      <c r="Q126" s="15">
        <f t="shared" si="91"/>
        <v>8.1014463913609849E-2</v>
      </c>
      <c r="R126" s="16">
        <f t="shared" si="92"/>
        <v>9.7203115209134072</v>
      </c>
      <c r="S126" s="28">
        <f t="shared" si="50"/>
        <v>0</v>
      </c>
      <c r="T126" s="15">
        <f t="shared" si="93"/>
        <v>3.5412398275309127E-2</v>
      </c>
      <c r="U126" s="29">
        <f t="shared" si="94"/>
        <v>0</v>
      </c>
      <c r="V126" s="8">
        <f t="shared" si="95"/>
        <v>2.358603964693307</v>
      </c>
      <c r="W126" s="8">
        <f t="shared" si="79"/>
        <v>2.4221448621745738</v>
      </c>
      <c r="X126" s="17">
        <f t="shared" si="96"/>
        <v>4.9835509441097077E-3</v>
      </c>
      <c r="Y126" s="18">
        <f t="shared" si="97"/>
        <v>1.9062956722079702</v>
      </c>
      <c r="Z126" s="8">
        <f t="shared" si="98"/>
        <v>53.550560646896109</v>
      </c>
      <c r="AA126" s="19">
        <f t="shared" si="99"/>
        <v>1446.1841051564845</v>
      </c>
    </row>
    <row r="127" spans="9:27" ht="15.75" thickBot="1" x14ac:dyDescent="0.3">
      <c r="I127" s="1"/>
      <c r="J127" s="1"/>
      <c r="O127" s="14">
        <f t="shared" si="61"/>
        <v>26.5</v>
      </c>
      <c r="P127" s="20">
        <f t="shared" si="90"/>
        <v>73.632293151624708</v>
      </c>
      <c r="Q127" s="15">
        <f t="shared" si="91"/>
        <v>8.1086336328989414E-2</v>
      </c>
      <c r="R127" s="16">
        <f t="shared" si="92"/>
        <v>9.7375660240410813</v>
      </c>
      <c r="S127" s="28">
        <f t="shared" si="50"/>
        <v>0</v>
      </c>
      <c r="T127" s="15">
        <f t="shared" si="93"/>
        <v>3.5412398275309127E-2</v>
      </c>
      <c r="U127" s="29">
        <f t="shared" si="94"/>
        <v>0</v>
      </c>
      <c r="V127" s="8">
        <f t="shared" si="95"/>
        <v>2.3616590813773057</v>
      </c>
      <c r="W127" s="8">
        <f t="shared" si="79"/>
        <v>2.4195733880418611</v>
      </c>
      <c r="X127" s="17">
        <f t="shared" si="96"/>
        <v>4.5422540300236527E-3</v>
      </c>
      <c r="Y127" s="18">
        <f t="shared" si="97"/>
        <v>1.9079868526191042</v>
      </c>
      <c r="Z127" s="8">
        <f t="shared" si="98"/>
        <v>53.598068313462001</v>
      </c>
      <c r="AA127" s="19">
        <f t="shared" si="99"/>
        <v>1482.9801929397468</v>
      </c>
    </row>
    <row r="128" spans="9:27" ht="15.75" thickBot="1" x14ac:dyDescent="0.3">
      <c r="I128" s="1"/>
      <c r="J128" s="1"/>
      <c r="O128" s="14">
        <f t="shared" si="61"/>
        <v>27</v>
      </c>
      <c r="P128" s="20">
        <f t="shared" si="90"/>
        <v>73.705423441508088</v>
      </c>
      <c r="Q128" s="15">
        <f t="shared" si="91"/>
        <v>8.1151844391827863E-2</v>
      </c>
      <c r="R128" s="16">
        <f t="shared" si="92"/>
        <v>9.7533059571774512</v>
      </c>
      <c r="S128" s="28">
        <f t="shared" si="50"/>
        <v>0</v>
      </c>
      <c r="T128" s="15">
        <f t="shared" si="93"/>
        <v>3.5412398275309127E-2</v>
      </c>
      <c r="U128" s="29">
        <f t="shared" si="94"/>
        <v>0</v>
      </c>
      <c r="V128" s="8">
        <f t="shared" si="95"/>
        <v>2.364446025282565</v>
      </c>
      <c r="W128" s="8">
        <f t="shared" si="79"/>
        <v>2.417228361471587</v>
      </c>
      <c r="X128" s="17">
        <f t="shared" si="96"/>
        <v>4.1397504878596921E-3</v>
      </c>
      <c r="Y128" s="18">
        <f t="shared" si="97"/>
        <v>1.909528277824569</v>
      </c>
      <c r="Z128" s="8">
        <f t="shared" si="98"/>
        <v>53.641369142998215</v>
      </c>
      <c r="AA128" s="19">
        <f t="shared" si="99"/>
        <v>1519.8146220880299</v>
      </c>
    </row>
    <row r="129" spans="9:27" ht="15.75" thickBot="1" x14ac:dyDescent="0.3">
      <c r="I129" s="1"/>
      <c r="J129" s="1"/>
      <c r="O129" s="14">
        <f t="shared" si="61"/>
        <v>27.5</v>
      </c>
      <c r="P129" s="20">
        <f t="shared" si="90"/>
        <v>73.772073424362631</v>
      </c>
      <c r="Q129" s="15">
        <f t="shared" si="91"/>
        <v>8.1211547577361237E-2</v>
      </c>
      <c r="R129" s="16">
        <f t="shared" si="92"/>
        <v>9.7676621961267216</v>
      </c>
      <c r="S129" s="28">
        <f t="shared" si="50"/>
        <v>0</v>
      </c>
      <c r="T129" s="15">
        <f t="shared" si="93"/>
        <v>3.5412398275309127E-2</v>
      </c>
      <c r="U129" s="29">
        <f t="shared" si="94"/>
        <v>0</v>
      </c>
      <c r="V129" s="8">
        <f t="shared" si="95"/>
        <v>2.3669879695396006</v>
      </c>
      <c r="W129" s="8">
        <f t="shared" si="79"/>
        <v>2.4150900899600773</v>
      </c>
      <c r="X129" s="17">
        <f t="shared" si="96"/>
        <v>3.772678340053669E-3</v>
      </c>
      <c r="Y129" s="18">
        <f t="shared" si="97"/>
        <v>1.9109331124516382</v>
      </c>
      <c r="Z129" s="8">
        <f t="shared" si="98"/>
        <v>53.680832948635775</v>
      </c>
      <c r="AA129" s="19">
        <f t="shared" si="99"/>
        <v>1556.6839963044974</v>
      </c>
    </row>
    <row r="130" spans="9:27" ht="15.75" thickBot="1" x14ac:dyDescent="0.3">
      <c r="I130" s="1"/>
      <c r="J130" s="1"/>
      <c r="O130" s="14">
        <f t="shared" si="61"/>
        <v>28</v>
      </c>
      <c r="P130" s="20">
        <f t="shared" si="90"/>
        <v>73.832813545637492</v>
      </c>
      <c r="Q130" s="15">
        <f t="shared" si="91"/>
        <v>8.1265956874625511E-2</v>
      </c>
      <c r="R130" s="16">
        <f t="shared" si="92"/>
        <v>9.7807546609345195</v>
      </c>
      <c r="S130" s="28">
        <f t="shared" si="50"/>
        <v>0</v>
      </c>
      <c r="T130" s="15">
        <f t="shared" si="93"/>
        <v>3.5412398275309127E-2</v>
      </c>
      <c r="U130" s="29">
        <f t="shared" si="94"/>
        <v>0</v>
      </c>
      <c r="V130" s="8">
        <f t="shared" si="95"/>
        <v>2.3693061474304966</v>
      </c>
      <c r="W130" s="8">
        <f t="shared" si="79"/>
        <v>2.4131405511484796</v>
      </c>
      <c r="X130" s="17">
        <f t="shared" si="96"/>
        <v>3.4379587429913803E-3</v>
      </c>
      <c r="Y130" s="18">
        <f t="shared" si="97"/>
        <v>1.9122133802321344</v>
      </c>
      <c r="Z130" s="8">
        <f t="shared" si="98"/>
        <v>53.716797494127462</v>
      </c>
      <c r="AA130" s="19">
        <f t="shared" si="99"/>
        <v>1593.5852180469974</v>
      </c>
    </row>
    <row r="131" spans="9:27" ht="15.75" thickBot="1" x14ac:dyDescent="0.3">
      <c r="I131" s="1"/>
      <c r="J131" s="1"/>
      <c r="O131" s="14">
        <f t="shared" si="61"/>
        <v>28.5</v>
      </c>
      <c r="P131" s="20">
        <f t="shared" si="90"/>
        <v>73.888164681399658</v>
      </c>
      <c r="Q131" s="15">
        <f t="shared" si="91"/>
        <v>8.1315538869794271E-2</v>
      </c>
      <c r="R131" s="16">
        <f t="shared" si="92"/>
        <v>9.7926931721555182</v>
      </c>
      <c r="S131" s="28">
        <f t="shared" si="50"/>
        <v>0</v>
      </c>
      <c r="T131" s="15">
        <f t="shared" si="93"/>
        <v>3.5412398275309127E-2</v>
      </c>
      <c r="U131" s="29">
        <f t="shared" si="94"/>
        <v>0</v>
      </c>
      <c r="V131" s="8">
        <f t="shared" si="95"/>
        <v>2.3714200040013576</v>
      </c>
      <c r="W131" s="8">
        <f t="shared" si="79"/>
        <v>2.4113632584364186</v>
      </c>
      <c r="X131" s="17">
        <f t="shared" si="96"/>
        <v>3.1327735559503207E-3</v>
      </c>
      <c r="Y131" s="18">
        <f t="shared" si="97"/>
        <v>1.9133800600846411</v>
      </c>
      <c r="Z131" s="8">
        <f t="shared" si="98"/>
        <v>53.749571192934013</v>
      </c>
      <c r="AA131" s="19">
        <f t="shared" si="99"/>
        <v>1630.5154626037568</v>
      </c>
    </row>
    <row r="132" spans="9:27" ht="15.75" thickBot="1" x14ac:dyDescent="0.3">
      <c r="I132" s="1"/>
      <c r="J132" s="1"/>
      <c r="O132" s="14">
        <f t="shared" si="61"/>
        <v>29</v>
      </c>
      <c r="P132" s="20">
        <f t="shared" si="90"/>
        <v>73.938602335650458</v>
      </c>
      <c r="Q132" s="15">
        <f t="shared" si="91"/>
        <v>8.1360719506017018E-2</v>
      </c>
      <c r="R132" s="16">
        <f t="shared" si="92"/>
        <v>9.8035782509129685</v>
      </c>
      <c r="S132" s="28">
        <f t="shared" si="50"/>
        <v>0</v>
      </c>
      <c r="T132" s="15">
        <f t="shared" si="93"/>
        <v>3.5412398275309127E-2</v>
      </c>
      <c r="U132" s="29">
        <f t="shared" si="94"/>
        <v>0</v>
      </c>
      <c r="V132" s="8">
        <f t="shared" si="95"/>
        <v>2.3733473377224423</v>
      </c>
      <c r="W132" s="8">
        <f t="shared" si="79"/>
        <v>2.4097431361444617</v>
      </c>
      <c r="X132" s="17">
        <f t="shared" si="96"/>
        <v>2.8545444395266196E-3</v>
      </c>
      <c r="Y132" s="18">
        <f t="shared" si="97"/>
        <v>1.9144431745846751</v>
      </c>
      <c r="Z132" s="8">
        <f t="shared" si="98"/>
        <v>53.779435593477245</v>
      </c>
      <c r="AA132" s="19">
        <f t="shared" si="99"/>
        <v>1667.4721543580192</v>
      </c>
    </row>
    <row r="133" spans="9:27" ht="15.75" thickBot="1" x14ac:dyDescent="0.3">
      <c r="I133" s="1"/>
      <c r="J133" s="1"/>
      <c r="O133" s="14">
        <f t="shared" si="61"/>
        <v>29.5</v>
      </c>
      <c r="P133" s="20">
        <f t="shared" si="90"/>
        <v>73.984560501126836</v>
      </c>
      <c r="Q133" s="15">
        <f t="shared" si="91"/>
        <v>8.1401887541816778E-2</v>
      </c>
      <c r="R133" s="16">
        <f t="shared" si="92"/>
        <v>9.8135018644438379</v>
      </c>
      <c r="S133" s="28">
        <f t="shared" si="50"/>
        <v>0</v>
      </c>
      <c r="T133" s="15">
        <f t="shared" si="93"/>
        <v>3.5412398275309127E-2</v>
      </c>
      <c r="U133" s="29">
        <f t="shared" si="94"/>
        <v>0</v>
      </c>
      <c r="V133" s="8">
        <f t="shared" si="95"/>
        <v>2.3751044324958697</v>
      </c>
      <c r="W133" s="8">
        <f t="shared" si="79"/>
        <v>2.4082664037762087</v>
      </c>
      <c r="X133" s="17">
        <f t="shared" si="96"/>
        <v>2.6009134247969366E-3</v>
      </c>
      <c r="Y133" s="18">
        <f t="shared" si="97"/>
        <v>1.9154118713418624</v>
      </c>
      <c r="Z133" s="8">
        <f t="shared" si="98"/>
        <v>53.806647665140886</v>
      </c>
      <c r="AA133" s="19">
        <f t="shared" si="99"/>
        <v>1704.4529450672135</v>
      </c>
    </row>
    <row r="134" spans="9:27" ht="15.75" thickBot="1" x14ac:dyDescent="0.3">
      <c r="O134" s="14">
        <f t="shared" si="61"/>
        <v>30</v>
      </c>
      <c r="P134" s="20">
        <f t="shared" si="90"/>
        <v>74.026435207266061</v>
      </c>
      <c r="Q134" s="15">
        <f t="shared" si="91"/>
        <v>8.143939772925736E-2</v>
      </c>
      <c r="R134" s="16">
        <f t="shared" si="92"/>
        <v>9.8225481192086743</v>
      </c>
      <c r="S134" s="28">
        <f t="shared" si="50"/>
        <v>0</v>
      </c>
      <c r="T134" s="15">
        <f t="shared" si="93"/>
        <v>3.5412398275309127E-2</v>
      </c>
      <c r="U134" s="29">
        <f t="shared" si="94"/>
        <v>0</v>
      </c>
      <c r="V134" s="8">
        <f t="shared" si="95"/>
        <v>2.3767061803790308</v>
      </c>
      <c r="W134" s="8">
        <f t="shared" si="79"/>
        <v>2.4069204689055845</v>
      </c>
      <c r="X134" s="17">
        <f t="shared" si="96"/>
        <v>2.369724887132771E-3</v>
      </c>
      <c r="Y134" s="18">
        <f t="shared" si="97"/>
        <v>1.9162944977832093</v>
      </c>
      <c r="Z134" s="8">
        <f t="shared" si="98"/>
        <v>53.831441899039113</v>
      </c>
      <c r="AA134" s="19">
        <f t="shared" si="99"/>
        <v>1741.4556939943118</v>
      </c>
    </row>
  </sheetData>
  <sortState ref="I3:J122">
    <sortCondition ref="J3:J122"/>
  </sortState>
  <mergeCells count="1">
    <mergeCell ref="O7:Q7"/>
  </mergeCells>
  <conditionalFormatting sqref="Y74:Y134">
    <cfRule type="colorScale" priority="24">
      <colorScale>
        <cfvo type="min"/>
        <cfvo type="num" val="1"/>
        <cfvo type="num" val="1.2"/>
        <color rgb="FFF8696B"/>
        <color rgb="FFFFEB84"/>
        <color rgb="FF63BE7B"/>
      </colorScale>
    </cfRule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8">
      <colorScale>
        <cfvo type="min"/>
        <cfvo type="num" val="1.2"/>
        <color rgb="FFFF7128"/>
        <color rgb="FF00B050"/>
      </colorScale>
    </cfRule>
  </conditionalFormatting>
  <conditionalFormatting sqref="Y74">
    <cfRule type="colorScale" priority="29">
      <colorScale>
        <cfvo type="min"/>
        <cfvo type="num" val="1.5"/>
        <color rgb="FFFF7128"/>
        <color rgb="FF00B050"/>
      </colorScale>
    </cfRule>
  </conditionalFormatting>
  <conditionalFormatting sqref="AA74:AA134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74:U134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74:V134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74:X134">
    <cfRule type="colorScale" priority="12">
      <colorScale>
        <cfvo type="num" val="0"/>
        <cfvo type="percentile" val="50"/>
        <cfvo type="max"/>
        <color rgb="FFF8696B"/>
        <color rgb="FFFFEB84"/>
        <color rgb="FF63BE7B"/>
      </colorScale>
    </cfRule>
  </conditionalFormatting>
  <conditionalFormatting sqref="AB20:AB68">
    <cfRule type="colorScale" priority="9">
      <colorScale>
        <cfvo type="num" val="2"/>
        <cfvo type="num" val="3"/>
        <cfvo type="num" val="6"/>
        <color rgb="FFF8696B"/>
        <color rgb="FFFFEB84"/>
        <color rgb="FF63BE7B"/>
      </colorScale>
    </cfRule>
  </conditionalFormatting>
  <conditionalFormatting sqref="AB18:AB68">
    <cfRule type="colorScale" priority="3">
      <colorScale>
        <cfvo type="num" val="1"/>
        <cfvo type="num" val="3"/>
        <cfvo type="num" val="6"/>
        <color rgb="FFF8696B"/>
        <color rgb="FFFFEB84"/>
        <color rgb="FF63BE7B"/>
      </colorScale>
    </cfRule>
  </conditionalFormatting>
  <conditionalFormatting sqref="W74:W13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6:W68">
    <cfRule type="colorScale" priority="152">
      <colorScale>
        <cfvo type="min"/>
        <cfvo type="num" val="1"/>
        <cfvo type="num" val="1.4"/>
        <color rgb="FFF8696B"/>
        <color rgb="FFFFEB84"/>
        <color rgb="FF63BE7B"/>
      </colorScale>
    </cfRule>
    <cfRule type="colorScale" priority="153">
      <colorScale>
        <cfvo type="min"/>
        <cfvo type="num" val="1"/>
        <cfvo type="max"/>
        <color rgb="FFF8696B"/>
        <color rgb="FFFFEB84"/>
        <color rgb="FF63BE7B"/>
      </colorScale>
    </cfRule>
    <cfRule type="colorScale" priority="1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6:X68">
    <cfRule type="colorScale" priority="1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16:Y68">
    <cfRule type="colorScale" priority="1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16:Z68">
    <cfRule type="colorScale" priority="162">
      <colorScale>
        <cfvo type="num" val="0"/>
        <cfvo type="num" val="10"/>
        <cfvo type="max"/>
        <color rgb="FFF8696B"/>
        <color rgb="FFFFEB84"/>
        <color rgb="FF63BE7B"/>
      </colorScale>
    </cfRule>
    <cfRule type="colorScale" priority="1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6:V68">
    <cfRule type="colorScale" priority="166">
      <colorScale>
        <cfvo type="num" val="0"/>
        <cfvo type="percentile" val="50"/>
        <cfvo type="max"/>
        <color rgb="FFF8696B"/>
        <color rgb="FFFFEB84"/>
        <color rgb="FF63BE7B"/>
      </colorScale>
    </cfRule>
    <cfRule type="colorScale" priority="1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16:U68">
    <cfRule type="colorScale" priority="1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16:T68">
    <cfRule type="colorScale" priority="1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6:AA68">
    <cfRule type="colorScale" priority="174">
      <colorScale>
        <cfvo type="num" val="0"/>
        <cfvo type="percentile" val="50"/>
        <cfvo type="max"/>
        <color rgb="FFF8696B"/>
        <color rgb="FFFFEB84"/>
        <color rgb="FF63BE7B"/>
      </colorScale>
    </cfRule>
    <cfRule type="colorScale" priority="1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6:AC68">
    <cfRule type="colorScale" priority="178">
      <colorScale>
        <cfvo type="num" val="0"/>
        <cfvo type="percentile" val="50"/>
        <cfvo type="max"/>
        <color rgb="FFF8696B"/>
        <color rgb="FFFFEB84"/>
        <color rgb="FF63BE7B"/>
      </colorScale>
    </cfRule>
    <cfRule type="colorScale" priority="1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6:AD68">
    <cfRule type="colorScale" priority="1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21:AD68">
    <cfRule type="colorScale" priority="184">
      <colorScale>
        <cfvo type="num" val="0"/>
        <cfvo type="num" val="300"/>
        <cfvo type="max"/>
        <color rgb="FFF8696B"/>
        <color rgb="FFFFEB84"/>
        <color rgb="FF63BE7B"/>
      </colorScale>
    </cfRule>
  </conditionalFormatting>
  <conditionalFormatting sqref="AB16:AB68">
    <cfRule type="colorScale" priority="186">
      <colorScale>
        <cfvo type="num" val="1"/>
        <cfvo type="num" val="2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P22"/>
  <sheetViews>
    <sheetView workbookViewId="0">
      <selection activeCell="M2" sqref="M2"/>
    </sheetView>
  </sheetViews>
  <sheetFormatPr defaultRowHeight="15" x14ac:dyDescent="0.25"/>
  <cols>
    <col min="1" max="1" width="15.28515625" bestFit="1" customWidth="1"/>
    <col min="2" max="2" width="21.5703125" customWidth="1"/>
    <col min="3" max="3" width="15.85546875" bestFit="1" customWidth="1"/>
    <col min="4" max="4" width="18" bestFit="1" customWidth="1"/>
    <col min="5" max="5" width="11.140625" bestFit="1" customWidth="1"/>
    <col min="6" max="6" width="18.28515625" style="40" bestFit="1" customWidth="1"/>
    <col min="7" max="7" width="22" bestFit="1" customWidth="1"/>
    <col min="8" max="8" width="5.85546875" bestFit="1" customWidth="1"/>
    <col min="9" max="9" width="20.5703125" bestFit="1" customWidth="1"/>
    <col min="10" max="10" width="20.85546875" bestFit="1" customWidth="1"/>
    <col min="11" max="11" width="6" bestFit="1" customWidth="1"/>
    <col min="12" max="12" width="21.140625" bestFit="1" customWidth="1"/>
    <col min="16" max="16" width="11.28515625" bestFit="1" customWidth="1"/>
  </cols>
  <sheetData>
    <row r="1" spans="1:16" x14ac:dyDescent="0.25">
      <c r="A1" s="59" t="s">
        <v>138</v>
      </c>
      <c r="B1" s="60" t="s">
        <v>139</v>
      </c>
      <c r="C1" s="60" t="s">
        <v>140</v>
      </c>
      <c r="D1" s="60" t="s">
        <v>141</v>
      </c>
      <c r="E1" s="60" t="s">
        <v>142</v>
      </c>
      <c r="F1" s="63" t="s">
        <v>153</v>
      </c>
      <c r="G1" s="59" t="s">
        <v>150</v>
      </c>
      <c r="H1" s="61">
        <f>IF($A2*$M2+2&gt;$D2*$M3,$A2*$M2+2,$D2*$M3)</f>
        <v>10</v>
      </c>
      <c r="I1" s="61" t="str">
        <f>IF($A2*$M2+2.5&gt;$D2*$M3,"Passenger Dominated","Cargo Dominated")</f>
        <v>Passenger Dominated</v>
      </c>
      <c r="J1" s="59"/>
      <c r="K1" s="62"/>
      <c r="L1" s="59"/>
      <c r="M1" s="60" t="s">
        <v>125</v>
      </c>
      <c r="N1" s="60" t="s">
        <v>124</v>
      </c>
      <c r="O1" s="60" t="s">
        <v>126</v>
      </c>
      <c r="P1" s="63" t="s">
        <v>143</v>
      </c>
    </row>
    <row r="2" spans="1:16" x14ac:dyDescent="0.25">
      <c r="A2" s="64">
        <v>4</v>
      </c>
      <c r="B2" s="65">
        <v>13</v>
      </c>
      <c r="C2" s="66">
        <f>$B2*$A2</f>
        <v>52</v>
      </c>
      <c r="D2" s="65">
        <v>2</v>
      </c>
      <c r="E2" s="65">
        <v>2</v>
      </c>
      <c r="F2" s="74">
        <f>E2*D2</f>
        <v>4</v>
      </c>
      <c r="G2" s="67" t="s">
        <v>151</v>
      </c>
      <c r="H2" s="68">
        <f>IF(($B$2*(2.179))&gt;($E$2*$N$3),$B$2*(2.179),$E$2*$N$3)</f>
        <v>28.326999999999998</v>
      </c>
      <c r="I2" s="68" t="str">
        <f>IF(($B$2*(2.5))&gt;($E$2*$N$3),"Passenger Dominated","Cargo Dominated")</f>
        <v>Passenger Dominated</v>
      </c>
      <c r="J2" s="67" t="s">
        <v>144</v>
      </c>
      <c r="K2" s="69">
        <f>(P2*$B2*$A2)/16</f>
        <v>4.0901249999999996</v>
      </c>
      <c r="L2" s="67" t="s">
        <v>145</v>
      </c>
      <c r="M2" s="70">
        <v>2</v>
      </c>
      <c r="N2" s="68">
        <f>PAX_DIMENSIONS</f>
        <v>2</v>
      </c>
      <c r="O2" s="68">
        <f>PAX_DIMENSIONS</f>
        <v>2</v>
      </c>
      <c r="P2" s="69">
        <v>1.2585</v>
      </c>
    </row>
    <row r="3" spans="1:16" x14ac:dyDescent="0.25">
      <c r="A3" s="40"/>
      <c r="B3" s="40"/>
      <c r="C3" s="40"/>
      <c r="D3" s="40"/>
      <c r="E3" s="40"/>
      <c r="G3" s="67" t="s">
        <v>152</v>
      </c>
      <c r="H3" s="68">
        <f>$O$3+$O$2+2</f>
        <v>6.5</v>
      </c>
      <c r="I3" s="68"/>
      <c r="J3" s="67" t="s">
        <v>146</v>
      </c>
      <c r="K3" s="69">
        <f>$E2*$D2*P3/16</f>
        <v>2</v>
      </c>
      <c r="L3" s="72" t="s">
        <v>147</v>
      </c>
      <c r="M3" s="65">
        <v>2.5</v>
      </c>
      <c r="N3" s="65">
        <v>4</v>
      </c>
      <c r="O3" s="65">
        <v>2.5</v>
      </c>
      <c r="P3" s="74">
        <v>8</v>
      </c>
    </row>
    <row r="4" spans="1:16" x14ac:dyDescent="0.25">
      <c r="A4" s="40"/>
      <c r="B4" s="40"/>
      <c r="C4" s="40"/>
      <c r="D4" s="40"/>
      <c r="E4" s="40"/>
      <c r="G4" s="72"/>
      <c r="H4" s="66"/>
      <c r="I4" s="66"/>
      <c r="J4" s="67" t="s">
        <v>148</v>
      </c>
      <c r="K4" s="69">
        <f>K3+(K2/2)+K1</f>
        <v>4.0450625000000002</v>
      </c>
      <c r="L4" s="40"/>
    </row>
    <row r="5" spans="1:16" x14ac:dyDescent="0.25">
      <c r="A5" s="40"/>
      <c r="B5" s="40"/>
      <c r="C5" s="40"/>
      <c r="D5" s="40"/>
      <c r="E5" s="40"/>
      <c r="G5" s="59" t="s">
        <v>154</v>
      </c>
      <c r="H5" s="62">
        <v>0.5</v>
      </c>
      <c r="I5" s="75"/>
      <c r="J5" s="72" t="s">
        <v>149</v>
      </c>
      <c r="K5" s="74">
        <f>SUM(K1:K3)</f>
        <v>6.0901249999999996</v>
      </c>
      <c r="L5" s="40"/>
    </row>
    <row r="6" spans="1:16" x14ac:dyDescent="0.25">
      <c r="A6" s="40"/>
      <c r="B6" s="40"/>
      <c r="C6" s="40"/>
      <c r="D6" s="40"/>
      <c r="E6" s="40"/>
      <c r="G6" s="67" t="s">
        <v>164</v>
      </c>
      <c r="H6" s="71">
        <v>18</v>
      </c>
      <c r="I6" s="75"/>
      <c r="J6" s="40"/>
      <c r="K6" s="40"/>
      <c r="L6" s="40"/>
      <c r="M6" s="40"/>
      <c r="N6" s="40"/>
    </row>
    <row r="7" spans="1:16" x14ac:dyDescent="0.25">
      <c r="C7" t="s">
        <v>162</v>
      </c>
      <c r="G7" s="67" t="s">
        <v>163</v>
      </c>
      <c r="H7" s="71">
        <v>4</v>
      </c>
      <c r="I7" s="75"/>
    </row>
    <row r="8" spans="1:16" x14ac:dyDescent="0.25">
      <c r="G8" s="72" t="s">
        <v>155</v>
      </c>
      <c r="H8" s="73">
        <v>1</v>
      </c>
    </row>
    <row r="9" spans="1:16" x14ac:dyDescent="0.25">
      <c r="G9" s="59" t="s">
        <v>156</v>
      </c>
      <c r="H9" s="76">
        <f>H5+H1</f>
        <v>10.5</v>
      </c>
    </row>
    <row r="10" spans="1:16" x14ac:dyDescent="0.25">
      <c r="G10" s="67" t="s">
        <v>157</v>
      </c>
      <c r="H10" s="69">
        <f>H6+H2+H7</f>
        <v>50.326999999999998</v>
      </c>
    </row>
    <row r="11" spans="1:16" x14ac:dyDescent="0.25">
      <c r="G11" s="72" t="s">
        <v>158</v>
      </c>
      <c r="H11" s="74">
        <f>H3+H8</f>
        <v>7.5</v>
      </c>
    </row>
    <row r="13" spans="1:16" x14ac:dyDescent="0.25">
      <c r="A13" s="92" t="s">
        <v>165</v>
      </c>
      <c r="B13" s="93"/>
      <c r="C13" s="94"/>
      <c r="D13" s="92" t="s">
        <v>185</v>
      </c>
      <c r="E13" s="93"/>
      <c r="F13" s="95"/>
    </row>
    <row r="14" spans="1:16" x14ac:dyDescent="0.25">
      <c r="A14" s="81" t="s">
        <v>183</v>
      </c>
      <c r="B14" s="82" t="s">
        <v>184</v>
      </c>
      <c r="C14" s="82" t="s">
        <v>104</v>
      </c>
      <c r="D14" s="59" t="s">
        <v>170</v>
      </c>
      <c r="E14" s="62">
        <v>1.25</v>
      </c>
      <c r="F14" s="63" t="s">
        <v>178</v>
      </c>
    </row>
    <row r="15" spans="1:16" x14ac:dyDescent="0.25">
      <c r="A15" s="67" t="s">
        <v>166</v>
      </c>
      <c r="B15" s="68">
        <f>((H9+E14)/2)*CRUD_LENGTH+2*((E15+H11)/2)*CRUD_LENGTH+((E14+H9)/2)*SQRT((H11-E15)^2+CRUD_LENGTH^2)</f>
        <v>391.40625</v>
      </c>
      <c r="C15" s="68">
        <f>SWET_tail/144</f>
        <v>2.7180989583333335</v>
      </c>
      <c r="D15" s="67" t="s">
        <v>171</v>
      </c>
      <c r="E15" s="71">
        <v>2.25</v>
      </c>
      <c r="F15" s="69">
        <f>E14*E15</f>
        <v>2.8125</v>
      </c>
    </row>
    <row r="16" spans="1:16" x14ac:dyDescent="0.25">
      <c r="A16" s="67" t="s">
        <v>169</v>
      </c>
      <c r="B16" s="68">
        <f>4*H2*H11</f>
        <v>849.81</v>
      </c>
      <c r="C16" s="68">
        <f>SWET_mid/144</f>
        <v>5.9014583333333333</v>
      </c>
      <c r="D16" s="67" t="s">
        <v>172</v>
      </c>
      <c r="E16" s="71">
        <v>1</v>
      </c>
      <c r="F16" s="83" t="s">
        <v>179</v>
      </c>
    </row>
    <row r="17" spans="1:6" x14ac:dyDescent="0.25">
      <c r="A17" s="67" t="s">
        <v>167</v>
      </c>
      <c r="B17" s="68">
        <f>SQRT(CRUD_LENGTH_nose^2+(H9/2)^2)*H11+SQRT(CRUD_LENGTH_nose^2+(H11/2)^2)*H9</f>
        <v>107.07216495775126</v>
      </c>
      <c r="C17" s="68">
        <f>SWET_nose/144</f>
        <v>0.74355670109549488</v>
      </c>
      <c r="D17" s="67" t="s">
        <v>173</v>
      </c>
      <c r="E17" s="71">
        <v>2</v>
      </c>
      <c r="F17" s="69">
        <f>E16*E17</f>
        <v>2</v>
      </c>
    </row>
    <row r="18" spans="1:6" x14ac:dyDescent="0.25">
      <c r="A18" s="72" t="s">
        <v>168</v>
      </c>
      <c r="B18" s="66">
        <f>SUM(B15:B17)</f>
        <v>1348.2884149577512</v>
      </c>
      <c r="C18" s="66">
        <f>SWET_fuse/144</f>
        <v>9.3631139927621607</v>
      </c>
      <c r="D18" s="67" t="s">
        <v>174</v>
      </c>
      <c r="E18" s="71">
        <v>1.5</v>
      </c>
      <c r="F18" s="83" t="s">
        <v>180</v>
      </c>
    </row>
    <row r="19" spans="1:6" x14ac:dyDescent="0.25">
      <c r="D19" s="67" t="s">
        <v>175</v>
      </c>
      <c r="E19" s="71">
        <v>0.5</v>
      </c>
      <c r="F19" s="69">
        <f>E18*E19</f>
        <v>0.75</v>
      </c>
    </row>
    <row r="20" spans="1:6" x14ac:dyDescent="0.25">
      <c r="D20" s="67" t="s">
        <v>176</v>
      </c>
      <c r="E20" s="71">
        <v>1.25</v>
      </c>
      <c r="F20" s="83" t="s">
        <v>181</v>
      </c>
    </row>
    <row r="21" spans="1:6" x14ac:dyDescent="0.25">
      <c r="D21" s="72" t="s">
        <v>177</v>
      </c>
      <c r="E21" s="73">
        <v>2.25</v>
      </c>
      <c r="F21" s="74">
        <f>E20*E21</f>
        <v>2.8125</v>
      </c>
    </row>
    <row r="22" spans="1:6" x14ac:dyDescent="0.25">
      <c r="D22" s="90" t="s">
        <v>182</v>
      </c>
      <c r="E22" s="91"/>
      <c r="F22" s="80">
        <f>F15+F17+F19+F21</f>
        <v>8.375</v>
      </c>
    </row>
  </sheetData>
  <mergeCells count="3">
    <mergeCell ref="D22:E22"/>
    <mergeCell ref="A13:C13"/>
    <mergeCell ref="D13:F13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S30"/>
  <sheetViews>
    <sheetView workbookViewId="0">
      <selection activeCell="B14" sqref="B14"/>
    </sheetView>
  </sheetViews>
  <sheetFormatPr defaultRowHeight="15" x14ac:dyDescent="0.25"/>
  <cols>
    <col min="1" max="1" width="16.140625" customWidth="1"/>
    <col min="2" max="2" width="6.28515625" customWidth="1"/>
    <col min="3" max="3" width="7.140625" customWidth="1"/>
    <col min="7" max="7" width="12.140625" customWidth="1"/>
    <col min="8" max="8" width="7.7109375" customWidth="1"/>
    <col min="10" max="10" width="11.5703125" customWidth="1"/>
  </cols>
  <sheetData>
    <row r="1" spans="1:19" ht="18.75" x14ac:dyDescent="0.3">
      <c r="A1" s="42" t="s">
        <v>96</v>
      </c>
    </row>
    <row r="2" spans="1:19" x14ac:dyDescent="0.25">
      <c r="A2" s="40"/>
      <c r="B2" s="40"/>
      <c r="C2" s="40"/>
      <c r="D2" s="40"/>
      <c r="E2" s="40"/>
      <c r="F2" s="40"/>
      <c r="G2" s="40"/>
      <c r="H2" s="40"/>
    </row>
    <row r="3" spans="1:19" x14ac:dyDescent="0.25">
      <c r="L3" t="s">
        <v>186</v>
      </c>
      <c r="M3" s="40" t="s">
        <v>110</v>
      </c>
      <c r="N3" s="40">
        <f>N13*(N14+N15)*2*0.7</f>
        <v>8.807224999999999</v>
      </c>
      <c r="O3" s="40" t="s">
        <v>104</v>
      </c>
    </row>
    <row r="4" spans="1:19" x14ac:dyDescent="0.25">
      <c r="A4" t="s">
        <v>97</v>
      </c>
    </row>
    <row r="5" spans="1:19" x14ac:dyDescent="0.25">
      <c r="A5" t="s">
        <v>98</v>
      </c>
      <c r="C5">
        <v>50</v>
      </c>
    </row>
    <row r="6" spans="1:19" x14ac:dyDescent="0.25">
      <c r="A6" t="s">
        <v>99</v>
      </c>
      <c r="C6">
        <f>C5/660.8</f>
        <v>7.5665859564164648E-2</v>
      </c>
    </row>
    <row r="7" spans="1:19" x14ac:dyDescent="0.25">
      <c r="A7" t="s">
        <v>100</v>
      </c>
      <c r="C7">
        <f>7100000*C6</f>
        <v>537227.60290556902</v>
      </c>
    </row>
    <row r="8" spans="1:19" x14ac:dyDescent="0.25">
      <c r="A8" t="s">
        <v>101</v>
      </c>
      <c r="C8">
        <f>C6^2*1481</f>
        <v>8.4792023316077358</v>
      </c>
      <c r="D8" t="s">
        <v>102</v>
      </c>
    </row>
    <row r="10" spans="1:19" x14ac:dyDescent="0.25">
      <c r="A10" t="s">
        <v>103</v>
      </c>
    </row>
    <row r="11" spans="1:19" x14ac:dyDescent="0.25">
      <c r="A11" t="s">
        <v>108</v>
      </c>
      <c r="G11" t="s">
        <v>120</v>
      </c>
      <c r="J11" s="40" t="s">
        <v>122</v>
      </c>
      <c r="M11" t="s">
        <v>123</v>
      </c>
      <c r="Q11" t="s">
        <v>119</v>
      </c>
      <c r="S11" t="s">
        <v>160</v>
      </c>
    </row>
    <row r="12" spans="1:19" x14ac:dyDescent="0.25">
      <c r="A12" t="s">
        <v>7</v>
      </c>
      <c r="B12" s="43">
        <v>5</v>
      </c>
      <c r="C12" t="s">
        <v>104</v>
      </c>
      <c r="G12" t="s">
        <v>121</v>
      </c>
      <c r="H12" s="43">
        <v>0.95</v>
      </c>
      <c r="I12" s="40" t="s">
        <v>104</v>
      </c>
      <c r="J12" s="40" t="s">
        <v>121</v>
      </c>
      <c r="K12" s="43">
        <v>0.3</v>
      </c>
      <c r="L12" t="s">
        <v>104</v>
      </c>
      <c r="M12" t="s">
        <v>110</v>
      </c>
      <c r="N12">
        <f>'Aircraft Dimensions'!C18</f>
        <v>9.3631139927621607</v>
      </c>
      <c r="O12" s="40" t="s">
        <v>104</v>
      </c>
      <c r="Q12" t="s">
        <v>128</v>
      </c>
      <c r="R12" s="43">
        <v>3</v>
      </c>
      <c r="S12" t="s">
        <v>73</v>
      </c>
    </row>
    <row r="13" spans="1:19" x14ac:dyDescent="0.25">
      <c r="A13" t="s">
        <v>95</v>
      </c>
      <c r="B13" s="43">
        <v>6</v>
      </c>
      <c r="G13" t="s">
        <v>110</v>
      </c>
      <c r="H13">
        <f>2.1*H12</f>
        <v>1.9949999999999999</v>
      </c>
      <c r="I13" s="40" t="s">
        <v>104</v>
      </c>
      <c r="J13" s="40" t="s">
        <v>110</v>
      </c>
      <c r="K13" s="40">
        <f>2.1*K12</f>
        <v>0.63</v>
      </c>
      <c r="L13" t="s">
        <v>104</v>
      </c>
      <c r="M13" t="s">
        <v>124</v>
      </c>
      <c r="N13" s="77">
        <f>'Aircraft Dimensions'!H10/12</f>
        <v>4.1939166666666665</v>
      </c>
      <c r="O13" t="s">
        <v>106</v>
      </c>
      <c r="Q13" t="s">
        <v>129</v>
      </c>
      <c r="R13" s="43">
        <v>1</v>
      </c>
      <c r="S13" t="s">
        <v>73</v>
      </c>
    </row>
    <row r="14" spans="1:19" x14ac:dyDescent="0.25">
      <c r="A14" t="s">
        <v>105</v>
      </c>
      <c r="B14">
        <f>SQRT(B13*B12)</f>
        <v>5.4772255750516612</v>
      </c>
      <c r="C14" t="s">
        <v>106</v>
      </c>
      <c r="D14">
        <f>B14*12</f>
        <v>65.726706900619931</v>
      </c>
      <c r="E14" t="s">
        <v>73</v>
      </c>
      <c r="G14" t="s">
        <v>107</v>
      </c>
      <c r="H14">
        <v>0.5</v>
      </c>
      <c r="I14" s="40" t="s">
        <v>106</v>
      </c>
      <c r="J14" s="40" t="s">
        <v>107</v>
      </c>
      <c r="K14">
        <v>0.5</v>
      </c>
      <c r="L14" t="s">
        <v>106</v>
      </c>
      <c r="M14" t="s">
        <v>125</v>
      </c>
      <c r="N14" s="77">
        <f>'Aircraft Dimensions'!H9/12</f>
        <v>0.875</v>
      </c>
      <c r="O14" t="s">
        <v>71</v>
      </c>
    </row>
    <row r="15" spans="1:19" x14ac:dyDescent="0.25">
      <c r="A15" t="s">
        <v>107</v>
      </c>
      <c r="B15">
        <f>B14/B13</f>
        <v>0.9128709291752769</v>
      </c>
      <c r="C15" t="s">
        <v>71</v>
      </c>
      <c r="D15">
        <f>B15*12</f>
        <v>10.954451150103322</v>
      </c>
      <c r="E15" t="s">
        <v>73</v>
      </c>
      <c r="G15" t="s">
        <v>116</v>
      </c>
      <c r="H15" s="57">
        <v>0.12</v>
      </c>
      <c r="J15" s="40" t="s">
        <v>116</v>
      </c>
      <c r="K15" s="58">
        <v>0.12</v>
      </c>
      <c r="M15" t="s">
        <v>126</v>
      </c>
      <c r="N15" s="77">
        <f>'Aircraft Dimensions'!H11/12</f>
        <v>0.625</v>
      </c>
      <c r="O15" t="s">
        <v>71</v>
      </c>
      <c r="Q15" t="s">
        <v>130</v>
      </c>
      <c r="R15">
        <f>R12*R13*3/144</f>
        <v>6.25E-2</v>
      </c>
      <c r="S15" s="40" t="s">
        <v>104</v>
      </c>
    </row>
    <row r="16" spans="1:19" x14ac:dyDescent="0.25">
      <c r="A16" t="s">
        <v>110</v>
      </c>
      <c r="B16">
        <f>2.1*B12</f>
        <v>10.5</v>
      </c>
      <c r="C16" s="40" t="s">
        <v>104</v>
      </c>
      <c r="M16" t="s">
        <v>94</v>
      </c>
      <c r="N16">
        <f>N14*N15</f>
        <v>0.546875</v>
      </c>
      <c r="O16" s="40" t="s">
        <v>104</v>
      </c>
    </row>
    <row r="17" spans="1:15" x14ac:dyDescent="0.25">
      <c r="A17" t="s">
        <v>116</v>
      </c>
      <c r="B17" s="57">
        <v>0.18</v>
      </c>
      <c r="M17" t="s">
        <v>127</v>
      </c>
      <c r="N17">
        <v>2.86E-2</v>
      </c>
      <c r="O17" t="s">
        <v>104</v>
      </c>
    </row>
    <row r="18" spans="1:15" x14ac:dyDescent="0.25">
      <c r="M18" t="s">
        <v>131</v>
      </c>
      <c r="N18">
        <f>(N14+N15)/2/N13</f>
        <v>0.17883044886442664</v>
      </c>
    </row>
    <row r="22" spans="1:15" x14ac:dyDescent="0.25">
      <c r="A22" s="44"/>
      <c r="B22" s="51" t="s">
        <v>110</v>
      </c>
      <c r="C22" s="51" t="s">
        <v>111</v>
      </c>
      <c r="D22" s="51" t="s">
        <v>115</v>
      </c>
      <c r="E22" s="51" t="s">
        <v>112</v>
      </c>
      <c r="F22" s="51" t="s">
        <v>133</v>
      </c>
    </row>
    <row r="23" spans="1:15" x14ac:dyDescent="0.25">
      <c r="A23" s="39" t="s">
        <v>108</v>
      </c>
      <c r="B23" s="45">
        <f>B16</f>
        <v>10.5</v>
      </c>
      <c r="C23" s="45">
        <f>1+2*B17+60*B17^4</f>
        <v>1.4229855999999999</v>
      </c>
      <c r="D23" s="46">
        <f>$B$15*$C$7</f>
        <v>490419.46104301349</v>
      </c>
      <c r="E23" s="47">
        <f>IF(D23&lt;500000,1.328/SQRT(D23),1/(3.46*LOG10(D23)-5.6)^2)</f>
        <v>1.8963313602336728E-3</v>
      </c>
      <c r="F23" s="47">
        <f>B23*C23*E23/$B$12</f>
        <v>5.6667496587259501E-3</v>
      </c>
    </row>
    <row r="24" spans="1:15" x14ac:dyDescent="0.25">
      <c r="A24" s="39" t="s">
        <v>109</v>
      </c>
      <c r="B24" s="45">
        <f>N12</f>
        <v>9.3631139927621607</v>
      </c>
      <c r="C24" s="45">
        <f>1-0.2896*N18+5.41*N18^2+88*N18^3-238.7*N18^4</f>
        <v>1.3803728819717387</v>
      </c>
      <c r="D24" s="46">
        <f>C7*N13</f>
        <v>2253087.7976190476</v>
      </c>
      <c r="E24" s="47">
        <f t="shared" ref="E24:E26" si="0">IF(D24&lt;500000,1.328/SQRT(D24),1/(3.46*LOG10(D24)-5.6)^2)</f>
        <v>3.7268313332614153E-3</v>
      </c>
      <c r="F24" s="47">
        <f t="shared" ref="F24:F26" si="1">B24*C24*E24/$B$12</f>
        <v>9.6335523873978292E-3</v>
      </c>
    </row>
    <row r="25" spans="1:15" x14ac:dyDescent="0.25">
      <c r="A25" s="39" t="s">
        <v>113</v>
      </c>
      <c r="B25" s="45">
        <f>H13</f>
        <v>1.9949999999999999</v>
      </c>
      <c r="C25" s="45">
        <f>1+2*H15+60*H15^4</f>
        <v>1.2524416</v>
      </c>
      <c r="D25" s="46">
        <f>$H$14*$C$7</f>
        <v>268613.80145278451</v>
      </c>
      <c r="E25" s="47">
        <f t="shared" si="0"/>
        <v>2.5623232275131728E-3</v>
      </c>
      <c r="F25" s="47">
        <f t="shared" si="1"/>
        <v>1.2804549209107208E-3</v>
      </c>
    </row>
    <row r="26" spans="1:15" x14ac:dyDescent="0.25">
      <c r="A26" s="39" t="s">
        <v>114</v>
      </c>
      <c r="B26" s="45">
        <f>K13</f>
        <v>0.63</v>
      </c>
      <c r="C26" s="45">
        <f>1+2*K15+60*K15^4</f>
        <v>1.2524416</v>
      </c>
      <c r="D26" s="46">
        <f>$K$14*$C$7</f>
        <v>268613.80145278451</v>
      </c>
      <c r="E26" s="47">
        <f t="shared" si="0"/>
        <v>2.5623232275131728E-3</v>
      </c>
      <c r="F26" s="47">
        <f t="shared" si="1"/>
        <v>4.0435418555075401E-4</v>
      </c>
    </row>
    <row r="27" spans="1:15" x14ac:dyDescent="0.25">
      <c r="A27" s="39" t="s">
        <v>118</v>
      </c>
      <c r="B27" s="45">
        <f>N17</f>
        <v>2.86E-2</v>
      </c>
      <c r="C27" s="48"/>
      <c r="D27" s="48"/>
      <c r="E27" s="48"/>
      <c r="F27" s="47">
        <f>B27/B12*0.16</f>
        <v>9.1520000000000002E-4</v>
      </c>
    </row>
    <row r="28" spans="1:15" x14ac:dyDescent="0.25">
      <c r="A28" s="39" t="s">
        <v>119</v>
      </c>
      <c r="B28" s="45">
        <f>R15</f>
        <v>6.25E-2</v>
      </c>
      <c r="C28" s="48"/>
      <c r="D28" s="48"/>
      <c r="E28" s="48"/>
      <c r="F28" s="47">
        <f>B28/B12*1</f>
        <v>1.2500000000000001E-2</v>
      </c>
    </row>
    <row r="29" spans="1:15" x14ac:dyDescent="0.25">
      <c r="A29" s="39" t="s">
        <v>132</v>
      </c>
      <c r="B29" s="48"/>
      <c r="C29" s="48"/>
      <c r="D29" s="48"/>
      <c r="E29" s="48"/>
      <c r="F29" s="47">
        <f>0.28*SUM(F23:F27)</f>
        <v>5.012087122723872E-3</v>
      </c>
    </row>
    <row r="30" spans="1:15" x14ac:dyDescent="0.25">
      <c r="A30" s="41" t="s">
        <v>117</v>
      </c>
      <c r="B30" s="49"/>
      <c r="C30" s="49"/>
      <c r="D30" s="49"/>
      <c r="E30" s="49"/>
      <c r="F30" s="50">
        <f>SUM(F23:F29)</f>
        <v>3.5412398275309127E-2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X21"/>
  <sheetViews>
    <sheetView workbookViewId="0">
      <selection activeCell="H11" sqref="H11"/>
    </sheetView>
  </sheetViews>
  <sheetFormatPr defaultRowHeight="15" x14ac:dyDescent="0.25"/>
  <sheetData>
    <row r="1" spans="1:24" ht="36" x14ac:dyDescent="0.55000000000000004">
      <c r="A1" s="86" t="s">
        <v>188</v>
      </c>
    </row>
    <row r="4" spans="1:24" x14ac:dyDescent="0.25">
      <c r="A4" t="s">
        <v>108</v>
      </c>
      <c r="F4" t="s">
        <v>123</v>
      </c>
      <c r="K4" t="s">
        <v>189</v>
      </c>
      <c r="P4" t="s">
        <v>122</v>
      </c>
      <c r="U4" t="s">
        <v>190</v>
      </c>
    </row>
    <row r="5" spans="1:24" x14ac:dyDescent="0.25">
      <c r="A5" t="s">
        <v>95</v>
      </c>
      <c r="B5">
        <f>AR</f>
        <v>6</v>
      </c>
      <c r="F5" t="s">
        <v>124</v>
      </c>
      <c r="G5">
        <f>Fuse_Len</f>
        <v>4.1939166666666665</v>
      </c>
      <c r="H5" t="s">
        <v>71</v>
      </c>
      <c r="I5">
        <f>G5*12</f>
        <v>50.326999999999998</v>
      </c>
      <c r="J5" t="s">
        <v>73</v>
      </c>
      <c r="K5" t="s">
        <v>121</v>
      </c>
      <c r="L5">
        <f>S_HT</f>
        <v>0.95</v>
      </c>
      <c r="M5" t="s">
        <v>71</v>
      </c>
      <c r="N5">
        <f>L5*12</f>
        <v>11.399999999999999</v>
      </c>
      <c r="O5" t="s">
        <v>73</v>
      </c>
      <c r="P5" t="s">
        <v>121</v>
      </c>
      <c r="Q5">
        <f>S_VT</f>
        <v>0.3</v>
      </c>
      <c r="R5" t="s">
        <v>71</v>
      </c>
      <c r="S5" s="40">
        <f t="shared" ref="S5:S6" si="0">Q5*12</f>
        <v>3.5999999999999996</v>
      </c>
      <c r="T5" t="s">
        <v>73</v>
      </c>
      <c r="U5" t="s">
        <v>191</v>
      </c>
      <c r="V5">
        <v>5.7800000000000004E-3</v>
      </c>
      <c r="W5" t="s">
        <v>192</v>
      </c>
    </row>
    <row r="6" spans="1:24" x14ac:dyDescent="0.25">
      <c r="A6" t="s">
        <v>105</v>
      </c>
      <c r="B6">
        <f>'CD0 calculator'!B14</f>
        <v>5.4772255750516612</v>
      </c>
      <c r="C6" t="s">
        <v>71</v>
      </c>
      <c r="D6">
        <f>B6*12</f>
        <v>65.726706900619931</v>
      </c>
      <c r="E6" t="s">
        <v>73</v>
      </c>
      <c r="F6" t="s">
        <v>125</v>
      </c>
      <c r="G6">
        <f>Fuse_W</f>
        <v>0.875</v>
      </c>
      <c r="H6" t="s">
        <v>71</v>
      </c>
      <c r="I6" s="40">
        <f t="shared" ref="I6:I7" si="1">G6*12</f>
        <v>10.5</v>
      </c>
      <c r="J6" t="s">
        <v>73</v>
      </c>
      <c r="K6" t="s">
        <v>107</v>
      </c>
      <c r="L6">
        <f>'CD0 calculator'!H14</f>
        <v>0.5</v>
      </c>
      <c r="M6" t="s">
        <v>71</v>
      </c>
      <c r="N6" s="40">
        <f t="shared" ref="N6:N9" si="2">L6*12</f>
        <v>6</v>
      </c>
      <c r="O6" t="s">
        <v>73</v>
      </c>
      <c r="P6" t="s">
        <v>107</v>
      </c>
      <c r="Q6">
        <f>'CD0 calculator'!K14</f>
        <v>0.5</v>
      </c>
      <c r="R6" t="s">
        <v>71</v>
      </c>
      <c r="S6" s="40">
        <f t="shared" si="0"/>
        <v>6</v>
      </c>
      <c r="T6" t="s">
        <v>73</v>
      </c>
      <c r="U6" t="s">
        <v>193</v>
      </c>
      <c r="V6">
        <v>1.32E-3</v>
      </c>
      <c r="W6" t="s">
        <v>192</v>
      </c>
      <c r="X6" t="s">
        <v>194</v>
      </c>
    </row>
    <row r="7" spans="1:24" x14ac:dyDescent="0.25">
      <c r="A7" t="s">
        <v>107</v>
      </c>
      <c r="B7">
        <f>'CD0 calculator'!B15</f>
        <v>0.9128709291752769</v>
      </c>
      <c r="C7" t="s">
        <v>71</v>
      </c>
      <c r="D7" s="40">
        <f>B7*12</f>
        <v>10.954451150103322</v>
      </c>
      <c r="E7" t="s">
        <v>73</v>
      </c>
      <c r="F7" t="s">
        <v>126</v>
      </c>
      <c r="G7">
        <f>Fuse_H</f>
        <v>0.625</v>
      </c>
      <c r="H7" t="s">
        <v>71</v>
      </c>
      <c r="I7" s="40">
        <f t="shared" si="1"/>
        <v>7.5</v>
      </c>
      <c r="J7" t="s">
        <v>73</v>
      </c>
      <c r="K7" t="s">
        <v>116</v>
      </c>
      <c r="L7">
        <f>tOc_HT</f>
        <v>0.12</v>
      </c>
      <c r="N7" s="40"/>
      <c r="P7" t="s">
        <v>116</v>
      </c>
      <c r="Q7">
        <f>tOc_VT</f>
        <v>0.12</v>
      </c>
      <c r="S7" s="40"/>
    </row>
    <row r="8" spans="1:24" x14ac:dyDescent="0.25">
      <c r="A8" t="s">
        <v>116</v>
      </c>
      <c r="B8">
        <f>tOC_wing</f>
        <v>0.18</v>
      </c>
      <c r="K8" t="s">
        <v>195</v>
      </c>
      <c r="L8">
        <f xml:space="preserve"> 2*(5*L7)*(0.296/(3/2)-0.126/2-0.3516/3+0.2843/4-0.1015/5)</f>
        <v>8.1489999999999979E-2</v>
      </c>
      <c r="N8" s="40"/>
      <c r="P8" t="s">
        <v>195</v>
      </c>
      <c r="Q8">
        <f xml:space="preserve"> 2*(5*Q7)*(0.296/(3/2)-0.126/2-0.3516/3+0.2843/4-0.1015/5)</f>
        <v>8.1489999999999979E-2</v>
      </c>
      <c r="S8" s="40"/>
    </row>
    <row r="9" spans="1:24" x14ac:dyDescent="0.25">
      <c r="A9" t="s">
        <v>195</v>
      </c>
      <c r="B9">
        <f xml:space="preserve"> 2*(5*B8)*(0.296/(3/2)-0.126/2-0.3516/3+0.2843/4-0.1015/5)</f>
        <v>0.12223499999999997</v>
      </c>
      <c r="K9" t="s">
        <v>196</v>
      </c>
      <c r="L9">
        <f>S_HT/'CD0 calculator'!H14</f>
        <v>1.9</v>
      </c>
      <c r="M9" t="s">
        <v>71</v>
      </c>
      <c r="N9" s="40">
        <f t="shared" si="2"/>
        <v>22.799999999999997</v>
      </c>
      <c r="O9" t="s">
        <v>73</v>
      </c>
      <c r="P9" t="s">
        <v>196</v>
      </c>
      <c r="Q9">
        <f>Q5/Q6</f>
        <v>0.6</v>
      </c>
      <c r="R9" t="s">
        <v>71</v>
      </c>
      <c r="S9">
        <f>Q9*12</f>
        <v>7.1999999999999993</v>
      </c>
      <c r="T9" t="s">
        <v>73</v>
      </c>
    </row>
    <row r="12" spans="1:24" x14ac:dyDescent="0.25">
      <c r="B12" t="s">
        <v>197</v>
      </c>
      <c r="F12" t="s">
        <v>198</v>
      </c>
    </row>
    <row r="13" spans="1:24" x14ac:dyDescent="0.25">
      <c r="A13" t="s">
        <v>199</v>
      </c>
      <c r="B13">
        <f>(B9*B6)*(B6-G6)/B5</f>
        <v>0.51353831922572735</v>
      </c>
      <c r="C13" t="s">
        <v>200</v>
      </c>
      <c r="D13">
        <f>B13*12^3</f>
        <v>887.39421562205689</v>
      </c>
      <c r="E13" t="s">
        <v>201</v>
      </c>
      <c r="F13">
        <f>D13*V6</f>
        <v>1.171360364621115</v>
      </c>
      <c r="G13" t="s">
        <v>202</v>
      </c>
      <c r="H13" s="88" t="s">
        <v>215</v>
      </c>
    </row>
    <row r="14" spans="1:24" x14ac:dyDescent="0.25">
      <c r="A14" t="s">
        <v>203</v>
      </c>
      <c r="B14">
        <f>D14/12^3</f>
        <v>0.13999084924768482</v>
      </c>
      <c r="C14" t="s">
        <v>200</v>
      </c>
      <c r="D14">
        <f>I5*I6*I7-(I5-0.25)*(I6-0.25)*(I7-0.25)</f>
        <v>241.90418749999935</v>
      </c>
      <c r="E14" t="s">
        <v>201</v>
      </c>
      <c r="F14">
        <f>D14*V5</f>
        <v>1.3982062037499963</v>
      </c>
      <c r="G14" t="s">
        <v>202</v>
      </c>
      <c r="H14" s="88" t="s">
        <v>216</v>
      </c>
    </row>
    <row r="15" spans="1:24" x14ac:dyDescent="0.25">
      <c r="A15" t="s">
        <v>204</v>
      </c>
      <c r="B15">
        <f>(L8*L9*L6)</f>
        <v>7.741549999999997E-2</v>
      </c>
      <c r="C15" t="s">
        <v>200</v>
      </c>
      <c r="D15">
        <f>B15*12^3</f>
        <v>133.77398399999996</v>
      </c>
      <c r="E15" t="s">
        <v>201</v>
      </c>
      <c r="F15">
        <f>D15*V6</f>
        <v>0.17658165887999994</v>
      </c>
      <c r="G15" t="s">
        <v>202</v>
      </c>
      <c r="H15" s="88" t="s">
        <v>215</v>
      </c>
    </row>
    <row r="16" spans="1:24" x14ac:dyDescent="0.25">
      <c r="A16" t="s">
        <v>205</v>
      </c>
      <c r="B16">
        <f>(Q8*Q9*Q6)</f>
        <v>2.4446999999999993E-2</v>
      </c>
      <c r="C16" t="s">
        <v>200</v>
      </c>
      <c r="D16" s="40">
        <f>B16*12^3</f>
        <v>42.244415999999987</v>
      </c>
      <c r="E16" t="s">
        <v>201</v>
      </c>
      <c r="F16">
        <f>D16*V6</f>
        <v>5.5762629119999983E-2</v>
      </c>
      <c r="G16" t="s">
        <v>202</v>
      </c>
      <c r="H16" s="88" t="s">
        <v>215</v>
      </c>
    </row>
    <row r="17" spans="1:8" x14ac:dyDescent="0.25">
      <c r="A17" t="s">
        <v>217</v>
      </c>
      <c r="F17">
        <v>0.5</v>
      </c>
      <c r="G17" s="40" t="s">
        <v>202</v>
      </c>
      <c r="H17" s="88" t="s">
        <v>218</v>
      </c>
    </row>
    <row r="18" spans="1:8" x14ac:dyDescent="0.25">
      <c r="A18" t="s">
        <v>219</v>
      </c>
      <c r="F18">
        <v>0.25</v>
      </c>
      <c r="G18" s="40" t="s">
        <v>202</v>
      </c>
      <c r="H18" s="88" t="s">
        <v>220</v>
      </c>
    </row>
    <row r="19" spans="1:8" x14ac:dyDescent="0.25">
      <c r="A19" t="s">
        <v>221</v>
      </c>
      <c r="F19">
        <v>0.25</v>
      </c>
      <c r="G19" s="40" t="s">
        <v>202</v>
      </c>
      <c r="H19" s="88" t="s">
        <v>222</v>
      </c>
    </row>
    <row r="20" spans="1:8" x14ac:dyDescent="0.25">
      <c r="A20" t="s">
        <v>206</v>
      </c>
      <c r="F20" s="87">
        <f>ROUND(SUM(F13:F19),2)</f>
        <v>3.8</v>
      </c>
      <c r="G20" t="s">
        <v>202</v>
      </c>
    </row>
    <row r="21" spans="1:8" x14ac:dyDescent="0.25">
      <c r="F21" s="87">
        <f>F20*16</f>
        <v>60.8</v>
      </c>
      <c r="G21" t="s">
        <v>59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76</vt:i4>
      </vt:variant>
    </vt:vector>
  </HeadingPairs>
  <TitlesOfParts>
    <vt:vector size="80" baseType="lpstr">
      <vt:lpstr>Performance Data</vt:lpstr>
      <vt:lpstr>Aircraft Dimensions</vt:lpstr>
      <vt:lpstr>CD0 calculator</vt:lpstr>
      <vt:lpstr>Aircraft Weight</vt:lpstr>
      <vt:lpstr>AR</vt:lpstr>
      <vt:lpstr>AR_e</vt:lpstr>
      <vt:lpstr>BATWEIGHT</vt:lpstr>
      <vt:lpstr>CARGO_HEIGHT</vt:lpstr>
      <vt:lpstr>CARGO_LENGTH</vt:lpstr>
      <vt:lpstr>CARGO_ROWS</vt:lpstr>
      <vt:lpstr>CARGO_WIDTH</vt:lpstr>
      <vt:lpstr>CARGOperROW</vt:lpstr>
      <vt:lpstr>CD0</vt:lpstr>
      <vt:lpstr>CRUD_HEIGHT</vt:lpstr>
      <vt:lpstr>CRUD_LENGTH</vt:lpstr>
      <vt:lpstr>CRUD_LENGTH_nose</vt:lpstr>
      <vt:lpstr>CRUD_LENGTH_tail</vt:lpstr>
      <vt:lpstr>CRUD_WIDTH</vt:lpstr>
      <vt:lpstr>ENDURANCE</vt:lpstr>
      <vt:lpstr>EW</vt:lpstr>
      <vt:lpstr>ExternalServoHeight</vt:lpstr>
      <vt:lpstr>ExternalServoWidth</vt:lpstr>
      <vt:lpstr>Fuse_H</vt:lpstr>
      <vt:lpstr>Fuse_Len</vt:lpstr>
      <vt:lpstr>Fuse_W</vt:lpstr>
      <vt:lpstr>HEADWIND</vt:lpstr>
      <vt:lpstr>LandingGearHeight</vt:lpstr>
      <vt:lpstr>LandingGearWidth</vt:lpstr>
      <vt:lpstr>M1_TURN_MARGIN</vt:lpstr>
      <vt:lpstr>m2_turn_margin</vt:lpstr>
      <vt:lpstr>m3_turn_margin</vt:lpstr>
      <vt:lpstr>MISSION1_STALL</vt:lpstr>
      <vt:lpstr>MISSION1_TODIST</vt:lpstr>
      <vt:lpstr>MISSION1_TOP</vt:lpstr>
      <vt:lpstr>MISSION1_WARNING</vt:lpstr>
      <vt:lpstr>MISSION2_STALL</vt:lpstr>
      <vt:lpstr>MISSION2_TIME</vt:lpstr>
      <vt:lpstr>MISSION2_TODIST</vt:lpstr>
      <vt:lpstr>MISSION2_TOP</vt:lpstr>
      <vt:lpstr>MISSION2_WARNING</vt:lpstr>
      <vt:lpstr>MISSION3_LAPS</vt:lpstr>
      <vt:lpstr>MISSION3_STALL</vt:lpstr>
      <vt:lpstr>MISSION3_TODIST</vt:lpstr>
      <vt:lpstr>MISSION3_TOP</vt:lpstr>
      <vt:lpstr>MISSION3_WARNING</vt:lpstr>
      <vt:lpstr>NBLOX</vt:lpstr>
      <vt:lpstr>NENG</vt:lpstr>
      <vt:lpstr>NPAX</vt:lpstr>
      <vt:lpstr>NUMCELLS</vt:lpstr>
      <vt:lpstr>OEW</vt:lpstr>
      <vt:lpstr>OverallScore</vt:lpstr>
      <vt:lpstr>PAX_DIMENSIONS</vt:lpstr>
      <vt:lpstr>PAX_ROWS</vt:lpstr>
      <vt:lpstr>PAXperROW</vt:lpstr>
      <vt:lpstr>penalty</vt:lpstr>
      <vt:lpstr>RAC</vt:lpstr>
      <vt:lpstr>S_HT</vt:lpstr>
      <vt:lpstr>S_VT</vt:lpstr>
      <vt:lpstr>Spi</vt:lpstr>
      <vt:lpstr>Sref</vt:lpstr>
      <vt:lpstr>SWET_fuse</vt:lpstr>
      <vt:lpstr>SWET_mid</vt:lpstr>
      <vt:lpstr>SWET_nose</vt:lpstr>
      <vt:lpstr>sWet_t</vt:lpstr>
      <vt:lpstr>SWET_tail</vt:lpstr>
      <vt:lpstr>sync</vt:lpstr>
      <vt:lpstr>Tail_End_Height</vt:lpstr>
      <vt:lpstr>Tail_End_Width</vt:lpstr>
      <vt:lpstr>TAIL_Swet</vt:lpstr>
      <vt:lpstr>Tire_D</vt:lpstr>
      <vt:lpstr>Tire_W</vt:lpstr>
      <vt:lpstr>tOc_HT</vt:lpstr>
      <vt:lpstr>tOc_VT</vt:lpstr>
      <vt:lpstr>tOC_wing</vt:lpstr>
      <vt:lpstr>TOW_M1</vt:lpstr>
      <vt:lpstr>TOW_M2</vt:lpstr>
      <vt:lpstr>TOW_M3</vt:lpstr>
      <vt:lpstr>TrunionHeight</vt:lpstr>
      <vt:lpstr>TrunionWidth</vt:lpstr>
      <vt:lpstr>WSPAN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student</dc:creator>
  <cp:lastModifiedBy>Philip_Thomas</cp:lastModifiedBy>
  <cp:lastPrinted>2014-12-18T16:36:06Z</cp:lastPrinted>
  <dcterms:created xsi:type="dcterms:W3CDTF">2012-11-17T04:50:56Z</dcterms:created>
  <dcterms:modified xsi:type="dcterms:W3CDTF">2017-09-27T22:21:02Z</dcterms:modified>
</cp:coreProperties>
</file>