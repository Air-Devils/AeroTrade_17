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p Thomas\Google Drive\School\Air Devils\AeroCodes\ExcelCodes\"/>
    </mc:Choice>
  </mc:AlternateContent>
  <bookViews>
    <workbookView xWindow="0" yWindow="0" windowWidth="28800" windowHeight="12360" xr2:uid="{00000000-000D-0000-FFFF-FFFF00000000}"/>
  </bookViews>
  <sheets>
    <sheet name="Performance Data" sheetId="1" r:id="rId1"/>
    <sheet name="Aircraft Dimensions" sheetId="3" r:id="rId2"/>
    <sheet name="CD0 calculator" sheetId="2" r:id="rId3"/>
  </sheets>
  <definedNames>
    <definedName name="AR">'CD0 calculator'!$B$13</definedName>
    <definedName name="AR_e">'Performance Data'!$P$12</definedName>
    <definedName name="BATWATTS">'Performance Data'!$B$23</definedName>
    <definedName name="BATWEIGHT">'Performance Data'!$B$21</definedName>
    <definedName name="CARGO_HEIGHT">'Aircraft Dimensions'!$O$3</definedName>
    <definedName name="CARGO_LENGTH">'Aircraft Dimensions'!$N$3</definedName>
    <definedName name="CARGO_ROWS">'Aircraft Dimensions'!$E$2</definedName>
    <definedName name="CARGO_WIDTH">'Aircraft Dimensions'!$M$3</definedName>
    <definedName name="CARGOperROW">'Aircraft Dimensions'!$D$2</definedName>
    <definedName name="CD0">'Performance Data'!$P$11</definedName>
    <definedName name="CRUD_HEIGHT">'Aircraft Dimensions'!$H$8</definedName>
    <definedName name="CRUD_LENGTH">'Aircraft Dimensions'!$H$6</definedName>
    <definedName name="CRUD_LENGTH_nose">'Aircraft Dimensions'!$H$7</definedName>
    <definedName name="CRUD_LENGTH_tail">'Aircraft Dimensions'!$H$6</definedName>
    <definedName name="CRUD_WIDTH">'Aircraft Dimensions'!$H$5</definedName>
    <definedName name="ExternalServoHeight">'Aircraft Dimensions'!$E$19</definedName>
    <definedName name="ExternalServoWidth">'Aircraft Dimensions'!$E$18</definedName>
    <definedName name="Fuse_H">'CD0 calculator'!$N$15</definedName>
    <definedName name="Fuse_Len">'CD0 calculator'!$N$13</definedName>
    <definedName name="Fuse_W">'CD0 calculator'!$N$14</definedName>
    <definedName name="HEADWIND">'Performance Data'!$P$14</definedName>
    <definedName name="LandingGearHeight">'Aircraft Dimensions'!$E$17</definedName>
    <definedName name="LandingGearWidth">'Aircraft Dimensions'!$E$16</definedName>
    <definedName name="M1_TURN_MARGIN">'Performance Data'!$L$9</definedName>
    <definedName name="m2_turn_margin">'Performance Data'!$L$14</definedName>
    <definedName name="m3_turn_margin">'Performance Data'!$L$19</definedName>
    <definedName name="MISSION1_STALL">'Performance Data'!$J$6</definedName>
    <definedName name="MISSION1_TODIST">'Performance Data'!$J$8</definedName>
    <definedName name="MISSION1_TOP">'Performance Data'!$J$7</definedName>
    <definedName name="MISSION1_WARNING">'Performance Data'!$L$8</definedName>
    <definedName name="MISSION2_STALL">'Performance Data'!$J$11</definedName>
    <definedName name="MISSION2_TIME">'Performance Data'!$B$45</definedName>
    <definedName name="MISSION2_TODIST">'Performance Data'!$J$13</definedName>
    <definedName name="MISSION2_TOP">'Performance Data'!$J$12</definedName>
    <definedName name="MISSION2_WARNING">'Performance Data'!$L$13</definedName>
    <definedName name="MISSION3_LAPS">'Performance Data'!$B$49</definedName>
    <definedName name="MISSION3_STALL">'Performance Data'!$J$16</definedName>
    <definedName name="MISSION3_TODIST">'Performance Data'!$J$18</definedName>
    <definedName name="MISSION3_TOP">'Performance Data'!$J$17</definedName>
    <definedName name="MISSION3_WARNING">'Performance Data'!$L$18</definedName>
    <definedName name="NBLOX">'Performance Data'!$B$33</definedName>
    <definedName name="NENG">'Performance Data'!$P$9</definedName>
    <definedName name="NPAX">'Performance Data'!$B$31</definedName>
    <definedName name="NUMCELLS">'Performance Data'!$B$19</definedName>
    <definedName name="OEW">'Performance Data'!$B$29</definedName>
    <definedName name="OverallScore">'Performance Data'!$B$59</definedName>
    <definedName name="PAX_DIMENSIONS">'Aircraft Dimensions'!$M$2</definedName>
    <definedName name="PAX_ROWS">'Aircraft Dimensions'!$B$2</definedName>
    <definedName name="PAXperROW">'Aircraft Dimensions'!$A$2</definedName>
    <definedName name="penalty">'Performance Data'!$L$22</definedName>
    <definedName name="RAC">'Performance Data'!$B$57</definedName>
    <definedName name="S_HT">'CD0 calculator'!$H$12</definedName>
    <definedName name="S_VT">'CD0 calculator'!$K$12</definedName>
    <definedName name="Spi">'CD0 calculator'!$N$16</definedName>
    <definedName name="Sref">'CD0 calculator'!$B$12</definedName>
    <definedName name="SWET_fuse">'Aircraft Dimensions'!$B$18</definedName>
    <definedName name="SWET_mid">'Aircraft Dimensions'!$B$16</definedName>
    <definedName name="SWET_nose">'Aircraft Dimensions'!$B$17</definedName>
    <definedName name="sWet_t">'Aircraft Dimensions'!$A$15</definedName>
    <definedName name="SWET_tail">'Aircraft Dimensions'!$B$15</definedName>
    <definedName name="sync">'Performance Data'!$J$23</definedName>
    <definedName name="Tail_End_Height">'Aircraft Dimensions'!$E$15</definedName>
    <definedName name="Tail_End_Width">'Aircraft Dimensions'!$E$14</definedName>
    <definedName name="TAIL_Swet">'Aircraft Dimensions'!$A$15</definedName>
    <definedName name="Tire_D">'CD0 calculator'!$R$12</definedName>
    <definedName name="Tire_W">'CD0 calculator'!$R$13</definedName>
    <definedName name="tOc_HT">'CD0 calculator'!$H$15</definedName>
    <definedName name="tOc_VT">'CD0 calculator'!$K$15</definedName>
    <definedName name="tOC_wing">'CD0 calculator'!$B$17</definedName>
    <definedName name="TOW_M1">'Performance Data'!$B$38</definedName>
    <definedName name="TOW_M2">'Performance Data'!$B$39</definedName>
    <definedName name="TOW_M3">'Performance Data'!$B$40</definedName>
    <definedName name="TrunionHeight">'Aircraft Dimensions'!$E$21</definedName>
    <definedName name="TrunionWidth">'Aircraft Dimensions'!$E$20</definedName>
    <definedName name="WSPAN">'Performance Data'!$B$51</definedName>
  </definedNames>
  <calcPr calcId="171027"/>
  <fileRecoveryPr autoRecover="0"/>
</workbook>
</file>

<file path=xl/calcChain.xml><?xml version="1.0" encoding="utf-8"?>
<calcChain xmlns="http://schemas.openxmlformats.org/spreadsheetml/2006/main">
  <c r="H1" i="3" l="1"/>
  <c r="H2" i="3"/>
  <c r="L19" i="1" l="1"/>
  <c r="L14" i="1"/>
  <c r="L9" i="1"/>
  <c r="F21" i="3" l="1"/>
  <c r="F19" i="3"/>
  <c r="F17" i="3"/>
  <c r="F15" i="3"/>
  <c r="F22" i="3" l="1"/>
  <c r="O18" i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P48" i="1" s="1"/>
  <c r="P13" i="1"/>
  <c r="P12" i="1"/>
  <c r="U45" i="1" l="1"/>
  <c r="P44" i="1"/>
  <c r="U48" i="1"/>
  <c r="P47" i="1"/>
  <c r="Q47" i="1" s="1"/>
  <c r="U43" i="1"/>
  <c r="O49" i="1"/>
  <c r="U46" i="1"/>
  <c r="P45" i="1"/>
  <c r="Q45" i="1" s="1"/>
  <c r="U47" i="1"/>
  <c r="P46" i="1"/>
  <c r="Q46" i="1" s="1"/>
  <c r="U44" i="1"/>
  <c r="P43" i="1"/>
  <c r="Q43" i="1" s="1"/>
  <c r="Q48" i="1"/>
  <c r="Q44" i="1"/>
  <c r="U42" i="1"/>
  <c r="P40" i="1"/>
  <c r="Q40" i="1" s="1"/>
  <c r="U39" i="1"/>
  <c r="P39" i="1"/>
  <c r="U38" i="1"/>
  <c r="P36" i="1"/>
  <c r="Q36" i="1" s="1"/>
  <c r="P42" i="1"/>
  <c r="Q42" i="1" s="1"/>
  <c r="U41" i="1"/>
  <c r="P41" i="1"/>
  <c r="U40" i="1"/>
  <c r="P38" i="1"/>
  <c r="Q38" i="1" s="1"/>
  <c r="U37" i="1"/>
  <c r="P37" i="1"/>
  <c r="U36" i="1"/>
  <c r="I2" i="3"/>
  <c r="H10" i="3" l="1"/>
  <c r="U49" i="1"/>
  <c r="O50" i="1"/>
  <c r="P49" i="1"/>
  <c r="Q49" i="1" s="1"/>
  <c r="Q37" i="1"/>
  <c r="Q41" i="1"/>
  <c r="Q39" i="1"/>
  <c r="B34" i="1"/>
  <c r="B32" i="1"/>
  <c r="O51" i="1" l="1"/>
  <c r="P50" i="1"/>
  <c r="Q50" i="1" s="1"/>
  <c r="U50" i="1"/>
  <c r="N13" i="2"/>
  <c r="F2" i="3"/>
  <c r="B33" i="1" s="1"/>
  <c r="I1" i="3"/>
  <c r="K3" i="3"/>
  <c r="O2" i="3"/>
  <c r="N2" i="3"/>
  <c r="C2" i="3"/>
  <c r="B31" i="1" s="1"/>
  <c r="H9" i="3"/>
  <c r="H3" i="3" l="1"/>
  <c r="H11" i="3" s="1"/>
  <c r="N14" i="2"/>
  <c r="O52" i="1"/>
  <c r="P51" i="1"/>
  <c r="Q51" i="1" s="1"/>
  <c r="U51" i="1"/>
  <c r="B16" i="3" l="1"/>
  <c r="C16" i="3" s="1"/>
  <c r="B17" i="3"/>
  <c r="C17" i="3" s="1"/>
  <c r="N15" i="2"/>
  <c r="N3" i="2" s="1"/>
  <c r="B15" i="3"/>
  <c r="C15" i="3" s="1"/>
  <c r="O53" i="1"/>
  <c r="U52" i="1"/>
  <c r="P52" i="1"/>
  <c r="Q52" i="1" s="1"/>
  <c r="J23" i="1"/>
  <c r="B18" i="3" l="1"/>
  <c r="C18" i="3" s="1"/>
  <c r="N12" i="2" s="1"/>
  <c r="B24" i="2" s="1"/>
  <c r="O54" i="1"/>
  <c r="P53" i="1"/>
  <c r="Q53" i="1" s="1"/>
  <c r="U53" i="1"/>
  <c r="N18" i="2"/>
  <c r="C24" i="2" s="1"/>
  <c r="C26" i="2"/>
  <c r="C25" i="2"/>
  <c r="R15" i="2"/>
  <c r="B28" i="2" s="1"/>
  <c r="F28" i="2" s="1"/>
  <c r="B27" i="2"/>
  <c r="F27" i="2" s="1"/>
  <c r="N16" i="2"/>
  <c r="K13" i="2"/>
  <c r="B26" i="2" s="1"/>
  <c r="H13" i="2"/>
  <c r="B25" i="2" s="1"/>
  <c r="C23" i="2"/>
  <c r="B16" i="2"/>
  <c r="B23" i="2" s="1"/>
  <c r="B14" i="2"/>
  <c r="B15" i="2" s="1"/>
  <c r="C6" i="2"/>
  <c r="C8" i="2" s="1"/>
  <c r="O55" i="1" l="1"/>
  <c r="P54" i="1"/>
  <c r="Q54" i="1" s="1"/>
  <c r="U54" i="1"/>
  <c r="C7" i="2"/>
  <c r="D15" i="2"/>
  <c r="D14" i="2"/>
  <c r="B47" i="1"/>
  <c r="B48" i="1" s="1"/>
  <c r="B43" i="1"/>
  <c r="O56" i="1" l="1"/>
  <c r="U55" i="1"/>
  <c r="P55" i="1"/>
  <c r="Q55" i="1" s="1"/>
  <c r="D26" i="2"/>
  <c r="E26" i="2" s="1"/>
  <c r="F26" i="2" s="1"/>
  <c r="D25" i="2"/>
  <c r="E25" i="2" s="1"/>
  <c r="F25" i="2" s="1"/>
  <c r="D24" i="2"/>
  <c r="E24" i="2" s="1"/>
  <c r="F24" i="2" s="1"/>
  <c r="D23" i="2"/>
  <c r="E23" i="2" s="1"/>
  <c r="F23" i="2" s="1"/>
  <c r="P8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O57" i="1" l="1"/>
  <c r="P56" i="1"/>
  <c r="Q56" i="1" s="1"/>
  <c r="U56" i="1"/>
  <c r="F29" i="2"/>
  <c r="F30" i="2" s="1"/>
  <c r="P11" i="1" s="1"/>
  <c r="T116" i="1" s="1"/>
  <c r="F47" i="1"/>
  <c r="U13" i="1"/>
  <c r="B51" i="1" s="1"/>
  <c r="B49" i="1"/>
  <c r="B55" i="1" s="1"/>
  <c r="B44" i="1"/>
  <c r="B45" i="1" s="1"/>
  <c r="B54" i="1" s="1"/>
  <c r="B24" i="1"/>
  <c r="S112" i="1"/>
  <c r="S113" i="1"/>
  <c r="S114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O58" i="1" l="1"/>
  <c r="U57" i="1"/>
  <c r="P57" i="1"/>
  <c r="Q57" i="1" s="1"/>
  <c r="T110" i="1"/>
  <c r="T109" i="1"/>
  <c r="T108" i="1"/>
  <c r="T106" i="1"/>
  <c r="T105" i="1"/>
  <c r="T100" i="1"/>
  <c r="T111" i="1"/>
  <c r="T107" i="1"/>
  <c r="T103" i="1"/>
  <c r="T114" i="1"/>
  <c r="T113" i="1"/>
  <c r="T119" i="1"/>
  <c r="T127" i="1"/>
  <c r="T104" i="1"/>
  <c r="T102" i="1"/>
  <c r="T101" i="1"/>
  <c r="T112" i="1"/>
  <c r="T134" i="1"/>
  <c r="T123" i="1"/>
  <c r="T129" i="1"/>
  <c r="T117" i="1"/>
  <c r="T132" i="1"/>
  <c r="T115" i="1"/>
  <c r="T120" i="1"/>
  <c r="T124" i="1"/>
  <c r="T128" i="1"/>
  <c r="T133" i="1"/>
  <c r="T118" i="1"/>
  <c r="T121" i="1"/>
  <c r="T122" i="1"/>
  <c r="T125" i="1"/>
  <c r="T130" i="1"/>
  <c r="T126" i="1"/>
  <c r="T131" i="1"/>
  <c r="Y8" i="1"/>
  <c r="O59" i="1" l="1"/>
  <c r="P58" i="1"/>
  <c r="Q58" i="1" s="1"/>
  <c r="U58" i="1"/>
  <c r="E9" i="1"/>
  <c r="B21" i="1"/>
  <c r="B30" i="1" s="1"/>
  <c r="O60" i="1" l="1"/>
  <c r="P59" i="1"/>
  <c r="Q59" i="1" s="1"/>
  <c r="U59" i="1"/>
  <c r="B57" i="1"/>
  <c r="B38" i="1"/>
  <c r="U16" i="1"/>
  <c r="O61" i="1" l="1"/>
  <c r="U60" i="1"/>
  <c r="P60" i="1"/>
  <c r="Q60" i="1" s="1"/>
  <c r="Z74" i="1"/>
  <c r="O62" i="1" l="1"/>
  <c r="P61" i="1"/>
  <c r="Q61" i="1" s="1"/>
  <c r="U61" i="1"/>
  <c r="B22" i="1"/>
  <c r="B23" i="1" s="1"/>
  <c r="L22" i="1" s="1"/>
  <c r="B59" i="1" l="1"/>
  <c r="O63" i="1"/>
  <c r="P62" i="1"/>
  <c r="Q62" i="1" s="1"/>
  <c r="U62" i="1"/>
  <c r="W74" i="1"/>
  <c r="O64" i="1" l="1"/>
  <c r="U63" i="1"/>
  <c r="P63" i="1"/>
  <c r="Q63" i="1" s="1"/>
  <c r="S90" i="1"/>
  <c r="T90" i="1" s="1"/>
  <c r="S91" i="1"/>
  <c r="T91" i="1" s="1"/>
  <c r="S92" i="1"/>
  <c r="T92" i="1" s="1"/>
  <c r="S93" i="1"/>
  <c r="T93" i="1" s="1"/>
  <c r="S94" i="1"/>
  <c r="T94" i="1" s="1"/>
  <c r="S95" i="1"/>
  <c r="T95" i="1" s="1"/>
  <c r="S96" i="1"/>
  <c r="T96" i="1" s="1"/>
  <c r="S97" i="1"/>
  <c r="T97" i="1" s="1"/>
  <c r="S98" i="1"/>
  <c r="T98" i="1" s="1"/>
  <c r="S99" i="1"/>
  <c r="T99" i="1" s="1"/>
  <c r="O75" i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S75" i="1"/>
  <c r="T75" i="1" s="1"/>
  <c r="S76" i="1"/>
  <c r="T76" i="1" s="1"/>
  <c r="S77" i="1"/>
  <c r="T77" i="1" s="1"/>
  <c r="S78" i="1"/>
  <c r="T78" i="1" s="1"/>
  <c r="S79" i="1"/>
  <c r="T79" i="1" s="1"/>
  <c r="S80" i="1"/>
  <c r="T80" i="1" s="1"/>
  <c r="S81" i="1"/>
  <c r="T81" i="1" s="1"/>
  <c r="S82" i="1"/>
  <c r="T82" i="1" s="1"/>
  <c r="S83" i="1"/>
  <c r="T83" i="1" s="1"/>
  <c r="S84" i="1"/>
  <c r="T84" i="1" s="1"/>
  <c r="S85" i="1"/>
  <c r="T85" i="1" s="1"/>
  <c r="S86" i="1"/>
  <c r="T86" i="1" s="1"/>
  <c r="S87" i="1"/>
  <c r="T87" i="1" s="1"/>
  <c r="S88" i="1"/>
  <c r="T88" i="1" s="1"/>
  <c r="S89" i="1"/>
  <c r="T89" i="1" s="1"/>
  <c r="S74" i="1"/>
  <c r="Q74" i="1"/>
  <c r="O65" i="1" l="1"/>
  <c r="P64" i="1"/>
  <c r="Q64" i="1" s="1"/>
  <c r="U64" i="1"/>
  <c r="O91" i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R74" i="1"/>
  <c r="U74" i="1" s="1"/>
  <c r="P16" i="1"/>
  <c r="U17" i="1"/>
  <c r="O66" i="1" l="1"/>
  <c r="U65" i="1"/>
  <c r="P65" i="1"/>
  <c r="Q65" i="1" s="1"/>
  <c r="P17" i="1"/>
  <c r="Q16" i="1"/>
  <c r="T74" i="1"/>
  <c r="O67" i="1" l="1"/>
  <c r="O68" i="1" s="1"/>
  <c r="U66" i="1"/>
  <c r="P66" i="1"/>
  <c r="Q66" i="1" s="1"/>
  <c r="P18" i="1"/>
  <c r="Q18" i="1" s="1"/>
  <c r="U18" i="1"/>
  <c r="Q17" i="1"/>
  <c r="U19" i="1"/>
  <c r="U20" i="1" l="1"/>
  <c r="P19" i="1"/>
  <c r="Q19" i="1" l="1"/>
  <c r="U21" i="1"/>
  <c r="P20" i="1"/>
  <c r="Q20" i="1" l="1"/>
  <c r="U22" i="1"/>
  <c r="P21" i="1"/>
  <c r="Q21" i="1" l="1"/>
  <c r="U23" i="1"/>
  <c r="P22" i="1"/>
  <c r="Q22" i="1" l="1"/>
  <c r="U24" i="1"/>
  <c r="P23" i="1"/>
  <c r="U25" i="1" l="1"/>
  <c r="P24" i="1"/>
  <c r="Q23" i="1"/>
  <c r="Q24" i="1" l="1"/>
  <c r="U26" i="1"/>
  <c r="P25" i="1"/>
  <c r="Q25" i="1" l="1"/>
  <c r="U27" i="1"/>
  <c r="P26" i="1"/>
  <c r="Q26" i="1" l="1"/>
  <c r="U28" i="1"/>
  <c r="P27" i="1"/>
  <c r="Q27" i="1" l="1"/>
  <c r="U29" i="1"/>
  <c r="P28" i="1"/>
  <c r="Q28" i="1" l="1"/>
  <c r="U30" i="1"/>
  <c r="P29" i="1"/>
  <c r="Q29" i="1" l="1"/>
  <c r="U31" i="1"/>
  <c r="P30" i="1"/>
  <c r="Q30" i="1" l="1"/>
  <c r="U32" i="1"/>
  <c r="P31" i="1"/>
  <c r="Q31" i="1" l="1"/>
  <c r="U33" i="1"/>
  <c r="P32" i="1"/>
  <c r="Q32" i="1" l="1"/>
  <c r="U34" i="1"/>
  <c r="P33" i="1"/>
  <c r="Q33" i="1" l="1"/>
  <c r="U35" i="1"/>
  <c r="P34" i="1"/>
  <c r="Q34" i="1" l="1"/>
  <c r="P35" i="1"/>
  <c r="Q35" i="1" l="1"/>
  <c r="U67" i="1" l="1"/>
  <c r="U68" i="1" l="1"/>
  <c r="P67" i="1"/>
  <c r="Q67" i="1" l="1"/>
  <c r="P68" i="1"/>
  <c r="Q68" i="1" l="1"/>
  <c r="U8" i="1" l="1"/>
  <c r="U9" i="1" s="1"/>
  <c r="V74" i="1"/>
  <c r="X74" i="1" s="1"/>
  <c r="P75" i="1" s="1"/>
  <c r="W45" i="1" l="1"/>
  <c r="W49" i="1"/>
  <c r="W53" i="1"/>
  <c r="W57" i="1"/>
  <c r="W61" i="1"/>
  <c r="W63" i="1"/>
  <c r="W65" i="1"/>
  <c r="W66" i="1"/>
  <c r="W43" i="1"/>
  <c r="W47" i="1"/>
  <c r="W51" i="1"/>
  <c r="W55" i="1"/>
  <c r="W59" i="1"/>
  <c r="W64" i="1"/>
  <c r="W62" i="1"/>
  <c r="W60" i="1"/>
  <c r="W58" i="1"/>
  <c r="W56" i="1"/>
  <c r="W54" i="1"/>
  <c r="W52" i="1"/>
  <c r="W50" i="1"/>
  <c r="W48" i="1"/>
  <c r="W46" i="1"/>
  <c r="W44" i="1"/>
  <c r="W40" i="1"/>
  <c r="W36" i="1"/>
  <c r="W42" i="1"/>
  <c r="W38" i="1"/>
  <c r="W37" i="1"/>
  <c r="W41" i="1"/>
  <c r="W39" i="1"/>
  <c r="AA75" i="1"/>
  <c r="Z75" i="1"/>
  <c r="Y74" i="1"/>
  <c r="U10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67" i="1"/>
  <c r="W68" i="1"/>
  <c r="AC44" i="1" l="1"/>
  <c r="AD44" i="1" s="1"/>
  <c r="AB44" i="1"/>
  <c r="R44" i="1"/>
  <c r="S44" i="1" s="1"/>
  <c r="T44" i="1" s="1"/>
  <c r="V44" i="1" s="1"/>
  <c r="AA44" i="1" s="1"/>
  <c r="AC48" i="1"/>
  <c r="AD48" i="1" s="1"/>
  <c r="AB48" i="1"/>
  <c r="R48" i="1"/>
  <c r="S48" i="1" s="1"/>
  <c r="T48" i="1" s="1"/>
  <c r="V48" i="1" s="1"/>
  <c r="AA48" i="1" s="1"/>
  <c r="AC52" i="1"/>
  <c r="AD52" i="1" s="1"/>
  <c r="AB52" i="1"/>
  <c r="R52" i="1"/>
  <c r="S52" i="1" s="1"/>
  <c r="T52" i="1" s="1"/>
  <c r="V52" i="1" s="1"/>
  <c r="AA52" i="1" s="1"/>
  <c r="AC56" i="1"/>
  <c r="AD56" i="1" s="1"/>
  <c r="AB56" i="1"/>
  <c r="R56" i="1"/>
  <c r="S56" i="1" s="1"/>
  <c r="T56" i="1" s="1"/>
  <c r="V56" i="1" s="1"/>
  <c r="AA56" i="1" s="1"/>
  <c r="AC60" i="1"/>
  <c r="AD60" i="1" s="1"/>
  <c r="AB60" i="1"/>
  <c r="R60" i="1"/>
  <c r="S60" i="1" s="1"/>
  <c r="T60" i="1" s="1"/>
  <c r="V60" i="1" s="1"/>
  <c r="AA60" i="1" s="1"/>
  <c r="AC64" i="1"/>
  <c r="AD64" i="1" s="1"/>
  <c r="AB64" i="1"/>
  <c r="R64" i="1"/>
  <c r="S64" i="1" s="1"/>
  <c r="AC55" i="1"/>
  <c r="AD55" i="1" s="1"/>
  <c r="R55" i="1"/>
  <c r="S55" i="1" s="1"/>
  <c r="AB55" i="1"/>
  <c r="AC47" i="1"/>
  <c r="AD47" i="1" s="1"/>
  <c r="R47" i="1"/>
  <c r="S47" i="1" s="1"/>
  <c r="AB47" i="1"/>
  <c r="R66" i="1"/>
  <c r="S66" i="1" s="1"/>
  <c r="AC66" i="1"/>
  <c r="AD66" i="1" s="1"/>
  <c r="AB66" i="1"/>
  <c r="AC63" i="1"/>
  <c r="AD63" i="1" s="1"/>
  <c r="AB63" i="1"/>
  <c r="R63" i="1"/>
  <c r="S63" i="1" s="1"/>
  <c r="R57" i="1"/>
  <c r="S57" i="1" s="1"/>
  <c r="T57" i="1" s="1"/>
  <c r="V57" i="1" s="1"/>
  <c r="AA57" i="1" s="1"/>
  <c r="AC57" i="1"/>
  <c r="AD57" i="1" s="1"/>
  <c r="AB57" i="1"/>
  <c r="AC49" i="1"/>
  <c r="AD49" i="1" s="1"/>
  <c r="R49" i="1"/>
  <c r="AB49" i="1"/>
  <c r="Z43" i="1"/>
  <c r="Z44" i="1"/>
  <c r="Z47" i="1"/>
  <c r="Z48" i="1"/>
  <c r="Z51" i="1"/>
  <c r="Z52" i="1"/>
  <c r="Z55" i="1"/>
  <c r="Z56" i="1"/>
  <c r="Z59" i="1"/>
  <c r="Z60" i="1"/>
  <c r="Z62" i="1"/>
  <c r="Z64" i="1"/>
  <c r="Z45" i="1"/>
  <c r="Z46" i="1"/>
  <c r="Z49" i="1"/>
  <c r="Z50" i="1"/>
  <c r="Z53" i="1"/>
  <c r="Z54" i="1"/>
  <c r="Z57" i="1"/>
  <c r="Z58" i="1"/>
  <c r="Z61" i="1"/>
  <c r="Z63" i="1"/>
  <c r="Z65" i="1"/>
  <c r="Z66" i="1"/>
  <c r="AC46" i="1"/>
  <c r="AD46" i="1" s="1"/>
  <c r="AB46" i="1"/>
  <c r="R46" i="1"/>
  <c r="S46" i="1" s="1"/>
  <c r="T46" i="1" s="1"/>
  <c r="V46" i="1" s="1"/>
  <c r="AA46" i="1" s="1"/>
  <c r="AC50" i="1"/>
  <c r="AD50" i="1" s="1"/>
  <c r="AB50" i="1"/>
  <c r="R50" i="1"/>
  <c r="S50" i="1" s="1"/>
  <c r="X50" i="1" s="1"/>
  <c r="Y50" i="1" s="1"/>
  <c r="R54" i="1"/>
  <c r="S54" i="1" s="1"/>
  <c r="T54" i="1" s="1"/>
  <c r="V54" i="1" s="1"/>
  <c r="AA54" i="1" s="1"/>
  <c r="AC54" i="1"/>
  <c r="AD54" i="1" s="1"/>
  <c r="AB54" i="1"/>
  <c r="R58" i="1"/>
  <c r="S58" i="1" s="1"/>
  <c r="T58" i="1" s="1"/>
  <c r="V58" i="1" s="1"/>
  <c r="AA58" i="1" s="1"/>
  <c r="AB58" i="1"/>
  <c r="AC58" i="1"/>
  <c r="AD58" i="1" s="1"/>
  <c r="AC62" i="1"/>
  <c r="AD62" i="1" s="1"/>
  <c r="R62" i="1"/>
  <c r="S62" i="1" s="1"/>
  <c r="T62" i="1" s="1"/>
  <c r="V62" i="1" s="1"/>
  <c r="AA62" i="1" s="1"/>
  <c r="AB62" i="1"/>
  <c r="AC59" i="1"/>
  <c r="AD59" i="1" s="1"/>
  <c r="R59" i="1"/>
  <c r="S59" i="1" s="1"/>
  <c r="AB59" i="1"/>
  <c r="AC51" i="1"/>
  <c r="AD51" i="1" s="1"/>
  <c r="AB51" i="1"/>
  <c r="R51" i="1"/>
  <c r="AC43" i="1"/>
  <c r="AD43" i="1" s="1"/>
  <c r="R43" i="1"/>
  <c r="S43" i="1" s="1"/>
  <c r="AB43" i="1"/>
  <c r="AB65" i="1"/>
  <c r="AC65" i="1"/>
  <c r="AD65" i="1" s="1"/>
  <c r="R65" i="1"/>
  <c r="S65" i="1" s="1"/>
  <c r="T65" i="1" s="1"/>
  <c r="V65" i="1" s="1"/>
  <c r="AA65" i="1" s="1"/>
  <c r="AC61" i="1"/>
  <c r="AD61" i="1" s="1"/>
  <c r="R61" i="1"/>
  <c r="S61" i="1" s="1"/>
  <c r="AB61" i="1"/>
  <c r="AC53" i="1"/>
  <c r="AD53" i="1" s="1"/>
  <c r="R53" i="1"/>
  <c r="S53" i="1" s="1"/>
  <c r="T53" i="1" s="1"/>
  <c r="V53" i="1" s="1"/>
  <c r="AA53" i="1" s="1"/>
  <c r="AB53" i="1"/>
  <c r="AC45" i="1"/>
  <c r="AD45" i="1" s="1"/>
  <c r="R45" i="1"/>
  <c r="S45" i="1" s="1"/>
  <c r="T45" i="1" s="1"/>
  <c r="V45" i="1" s="1"/>
  <c r="AA45" i="1" s="1"/>
  <c r="AB45" i="1"/>
  <c r="AC41" i="1"/>
  <c r="AD41" i="1" s="1"/>
  <c r="AB41" i="1"/>
  <c r="R41" i="1"/>
  <c r="S41" i="1" s="1"/>
  <c r="AC36" i="1"/>
  <c r="AD36" i="1" s="1"/>
  <c r="R36" i="1"/>
  <c r="S36" i="1" s="1"/>
  <c r="AB36" i="1"/>
  <c r="AC39" i="1"/>
  <c r="AD39" i="1" s="1"/>
  <c r="AB39" i="1"/>
  <c r="R39" i="1"/>
  <c r="S39" i="1" s="1"/>
  <c r="T39" i="1" s="1"/>
  <c r="V39" i="1" s="1"/>
  <c r="AA39" i="1" s="1"/>
  <c r="AC37" i="1"/>
  <c r="AD37" i="1" s="1"/>
  <c r="R37" i="1"/>
  <c r="S37" i="1" s="1"/>
  <c r="AB37" i="1"/>
  <c r="AC42" i="1"/>
  <c r="AD42" i="1" s="1"/>
  <c r="R42" i="1"/>
  <c r="S42" i="1" s="1"/>
  <c r="AB42" i="1"/>
  <c r="R40" i="1"/>
  <c r="S40" i="1" s="1"/>
  <c r="AB40" i="1"/>
  <c r="AC40" i="1"/>
  <c r="AD40" i="1" s="1"/>
  <c r="Z40" i="1"/>
  <c r="Z39" i="1"/>
  <c r="Z36" i="1"/>
  <c r="Z42" i="1"/>
  <c r="Z41" i="1"/>
  <c r="Z38" i="1"/>
  <c r="Z37" i="1"/>
  <c r="AB38" i="1"/>
  <c r="AC38" i="1"/>
  <c r="AD38" i="1" s="1"/>
  <c r="R38" i="1"/>
  <c r="S38" i="1" s="1"/>
  <c r="AB19" i="1"/>
  <c r="AC19" i="1"/>
  <c r="AD19" i="1" s="1"/>
  <c r="R19" i="1"/>
  <c r="S19" i="1" s="1"/>
  <c r="T19" i="1" s="1"/>
  <c r="V19" i="1" s="1"/>
  <c r="AA19" i="1" s="1"/>
  <c r="AC26" i="1"/>
  <c r="AD26" i="1" s="1"/>
  <c r="R26" i="1"/>
  <c r="S26" i="1" s="1"/>
  <c r="AB26" i="1"/>
  <c r="R18" i="1"/>
  <c r="S18" i="1" s="1"/>
  <c r="T18" i="1" s="1"/>
  <c r="V18" i="1" s="1"/>
  <c r="AA18" i="1" s="1"/>
  <c r="AC18" i="1"/>
  <c r="AD18" i="1" s="1"/>
  <c r="AB18" i="1"/>
  <c r="AC27" i="1"/>
  <c r="AD27" i="1" s="1"/>
  <c r="R27" i="1"/>
  <c r="S27" i="1" s="1"/>
  <c r="AB27" i="1"/>
  <c r="R16" i="1"/>
  <c r="S16" i="1" s="1"/>
  <c r="T16" i="1" s="1"/>
  <c r="V16" i="1" s="1"/>
  <c r="AA16" i="1" s="1"/>
  <c r="AC16" i="1"/>
  <c r="AD16" i="1" s="1"/>
  <c r="AB16" i="1"/>
  <c r="X16" i="1"/>
  <c r="Y16" i="1" s="1"/>
  <c r="R35" i="1"/>
  <c r="S35" i="1" s="1"/>
  <c r="AB35" i="1"/>
  <c r="AC35" i="1"/>
  <c r="AD35" i="1" s="1"/>
  <c r="AC68" i="1"/>
  <c r="AD68" i="1" s="1"/>
  <c r="R68" i="1"/>
  <c r="S68" i="1" s="1"/>
  <c r="AB68" i="1"/>
  <c r="AC25" i="1"/>
  <c r="AD25" i="1" s="1"/>
  <c r="AB25" i="1"/>
  <c r="R25" i="1"/>
  <c r="S25" i="1" s="1"/>
  <c r="AC24" i="1"/>
  <c r="AD24" i="1" s="1"/>
  <c r="R24" i="1"/>
  <c r="S24" i="1" s="1"/>
  <c r="AB24" i="1"/>
  <c r="AC23" i="1"/>
  <c r="AD23" i="1" s="1"/>
  <c r="R23" i="1"/>
  <c r="S23" i="1" s="1"/>
  <c r="AB23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67" i="1"/>
  <c r="Z68" i="1"/>
  <c r="AC67" i="1"/>
  <c r="AD67" i="1" s="1"/>
  <c r="R67" i="1"/>
  <c r="S67" i="1" s="1"/>
  <c r="AB67" i="1"/>
  <c r="AC17" i="1"/>
  <c r="AD17" i="1" s="1"/>
  <c r="AB17" i="1"/>
  <c r="R17" i="1"/>
  <c r="S17" i="1" s="1"/>
  <c r="AC32" i="1"/>
  <c r="AD32" i="1" s="1"/>
  <c r="R32" i="1"/>
  <c r="S32" i="1" s="1"/>
  <c r="AB32" i="1"/>
  <c r="AC31" i="1"/>
  <c r="AD31" i="1" s="1"/>
  <c r="AB31" i="1"/>
  <c r="R31" i="1"/>
  <c r="S31" i="1" s="1"/>
  <c r="R30" i="1"/>
  <c r="S30" i="1" s="1"/>
  <c r="T30" i="1" s="1"/>
  <c r="V30" i="1" s="1"/>
  <c r="AA30" i="1" s="1"/>
  <c r="AB30" i="1"/>
  <c r="AC30" i="1"/>
  <c r="AD30" i="1" s="1"/>
  <c r="AC22" i="1"/>
  <c r="AD22" i="1" s="1"/>
  <c r="R22" i="1"/>
  <c r="S22" i="1" s="1"/>
  <c r="AB22" i="1"/>
  <c r="AC34" i="1"/>
  <c r="AD34" i="1" s="1"/>
  <c r="R34" i="1"/>
  <c r="S34" i="1" s="1"/>
  <c r="AB34" i="1"/>
  <c r="AC33" i="1"/>
  <c r="AD33" i="1" s="1"/>
  <c r="R33" i="1"/>
  <c r="S33" i="1" s="1"/>
  <c r="AB33" i="1"/>
  <c r="R29" i="1"/>
  <c r="S29" i="1" s="1"/>
  <c r="AB29" i="1"/>
  <c r="AC29" i="1"/>
  <c r="AD29" i="1" s="1"/>
  <c r="AC21" i="1"/>
  <c r="AD21" i="1" s="1"/>
  <c r="R21" i="1"/>
  <c r="S21" i="1" s="1"/>
  <c r="AB21" i="1"/>
  <c r="R28" i="1"/>
  <c r="S28" i="1" s="1"/>
  <c r="AB28" i="1"/>
  <c r="AC28" i="1"/>
  <c r="AD28" i="1" s="1"/>
  <c r="AC20" i="1"/>
  <c r="AD20" i="1" s="1"/>
  <c r="R20" i="1"/>
  <c r="S20" i="1" s="1"/>
  <c r="AB20" i="1"/>
  <c r="W75" i="1"/>
  <c r="Q75" i="1"/>
  <c r="X48" i="1" l="1"/>
  <c r="Y48" i="1" s="1"/>
  <c r="X52" i="1"/>
  <c r="Y52" i="1" s="1"/>
  <c r="X54" i="1"/>
  <c r="Y54" i="1" s="1"/>
  <c r="X45" i="1"/>
  <c r="Y45" i="1" s="1"/>
  <c r="X62" i="1"/>
  <c r="Y62" i="1" s="1"/>
  <c r="X56" i="1"/>
  <c r="Y56" i="1" s="1"/>
  <c r="X61" i="1"/>
  <c r="Y61" i="1" s="1"/>
  <c r="X53" i="1"/>
  <c r="Y53" i="1" s="1"/>
  <c r="X46" i="1"/>
  <c r="Y46" i="1" s="1"/>
  <c r="X44" i="1"/>
  <c r="Y44" i="1" s="1"/>
  <c r="T59" i="1"/>
  <c r="V59" i="1" s="1"/>
  <c r="AA59" i="1" s="1"/>
  <c r="T63" i="1"/>
  <c r="V63" i="1" s="1"/>
  <c r="AA63" i="1" s="1"/>
  <c r="X66" i="1"/>
  <c r="Y66" i="1" s="1"/>
  <c r="T66" i="1"/>
  <c r="V66" i="1" s="1"/>
  <c r="AA66" i="1" s="1"/>
  <c r="T43" i="1"/>
  <c r="V43" i="1" s="1"/>
  <c r="AA43" i="1" s="1"/>
  <c r="X43" i="1"/>
  <c r="Y43" i="1" s="1"/>
  <c r="X59" i="1"/>
  <c r="Y59" i="1" s="1"/>
  <c r="X58" i="1"/>
  <c r="Y58" i="1" s="1"/>
  <c r="T50" i="1"/>
  <c r="V50" i="1" s="1"/>
  <c r="AA50" i="1" s="1"/>
  <c r="S49" i="1"/>
  <c r="T49" i="1" s="1"/>
  <c r="V49" i="1" s="1"/>
  <c r="AA49" i="1" s="1"/>
  <c r="X57" i="1"/>
  <c r="Y57" i="1" s="1"/>
  <c r="X47" i="1"/>
  <c r="Y47" i="1" s="1"/>
  <c r="X55" i="1"/>
  <c r="Y55" i="1" s="1"/>
  <c r="X64" i="1"/>
  <c r="Y64" i="1" s="1"/>
  <c r="X60" i="1"/>
  <c r="Y60" i="1" s="1"/>
  <c r="T61" i="1"/>
  <c r="V61" i="1" s="1"/>
  <c r="AA61" i="1" s="1"/>
  <c r="X65" i="1"/>
  <c r="Y65" i="1" s="1"/>
  <c r="S51" i="1"/>
  <c r="T51" i="1" s="1"/>
  <c r="V51" i="1" s="1"/>
  <c r="AA51" i="1" s="1"/>
  <c r="X63" i="1"/>
  <c r="Y63" i="1" s="1"/>
  <c r="T47" i="1"/>
  <c r="V47" i="1" s="1"/>
  <c r="AA47" i="1" s="1"/>
  <c r="T55" i="1"/>
  <c r="V55" i="1" s="1"/>
  <c r="AA55" i="1" s="1"/>
  <c r="T64" i="1"/>
  <c r="V64" i="1" s="1"/>
  <c r="AA64" i="1" s="1"/>
  <c r="X41" i="1"/>
  <c r="Y41" i="1" s="1"/>
  <c r="X39" i="1"/>
  <c r="Y39" i="1" s="1"/>
  <c r="T38" i="1"/>
  <c r="V38" i="1" s="1"/>
  <c r="AA38" i="1" s="1"/>
  <c r="X38" i="1"/>
  <c r="Y38" i="1" s="1"/>
  <c r="X40" i="1"/>
  <c r="Y40" i="1" s="1"/>
  <c r="X42" i="1"/>
  <c r="Y42" i="1" s="1"/>
  <c r="X37" i="1"/>
  <c r="Y37" i="1" s="1"/>
  <c r="X36" i="1"/>
  <c r="Y36" i="1" s="1"/>
  <c r="T40" i="1"/>
  <c r="V40" i="1" s="1"/>
  <c r="AA40" i="1" s="1"/>
  <c r="T42" i="1"/>
  <c r="V42" i="1" s="1"/>
  <c r="AA42" i="1" s="1"/>
  <c r="T37" i="1"/>
  <c r="V37" i="1" s="1"/>
  <c r="AA37" i="1" s="1"/>
  <c r="T36" i="1"/>
  <c r="V36" i="1" s="1"/>
  <c r="AA36" i="1" s="1"/>
  <c r="T41" i="1"/>
  <c r="V41" i="1" s="1"/>
  <c r="AA41" i="1" s="1"/>
  <c r="T17" i="1"/>
  <c r="V17" i="1" s="1"/>
  <c r="AA17" i="1" s="1"/>
  <c r="X17" i="1"/>
  <c r="Y17" i="1" s="1"/>
  <c r="X18" i="1"/>
  <c r="Y18" i="1" s="1"/>
  <c r="X19" i="1"/>
  <c r="Y19" i="1" s="1"/>
  <c r="X30" i="1"/>
  <c r="Y30" i="1" s="1"/>
  <c r="X28" i="1"/>
  <c r="Y28" i="1" s="1"/>
  <c r="T28" i="1"/>
  <c r="V28" i="1" s="1"/>
  <c r="AA28" i="1" s="1"/>
  <c r="X26" i="1"/>
  <c r="Y26" i="1" s="1"/>
  <c r="T26" i="1"/>
  <c r="V26" i="1" s="1"/>
  <c r="AA26" i="1" s="1"/>
  <c r="X33" i="1"/>
  <c r="Y33" i="1" s="1"/>
  <c r="T33" i="1"/>
  <c r="V33" i="1" s="1"/>
  <c r="AA33" i="1" s="1"/>
  <c r="X68" i="1"/>
  <c r="Y68" i="1" s="1"/>
  <c r="T68" i="1"/>
  <c r="V68" i="1" s="1"/>
  <c r="AA68" i="1" s="1"/>
  <c r="R75" i="1"/>
  <c r="U75" i="1" s="1"/>
  <c r="V75" i="1" s="1"/>
  <c r="X75" i="1" s="1"/>
  <c r="P76" i="1" s="1"/>
  <c r="Z76" i="1" s="1"/>
  <c r="Y75" i="1"/>
  <c r="X27" i="1"/>
  <c r="Y27" i="1" s="1"/>
  <c r="T27" i="1"/>
  <c r="V27" i="1" s="1"/>
  <c r="AA27" i="1" s="1"/>
  <c r="X34" i="1"/>
  <c r="Y34" i="1" s="1"/>
  <c r="T34" i="1"/>
  <c r="V34" i="1" s="1"/>
  <c r="AA34" i="1" s="1"/>
  <c r="X23" i="1"/>
  <c r="Y23" i="1" s="1"/>
  <c r="T23" i="1"/>
  <c r="V23" i="1" s="1"/>
  <c r="AA23" i="1" s="1"/>
  <c r="X25" i="1"/>
  <c r="Y25" i="1" s="1"/>
  <c r="T25" i="1"/>
  <c r="V25" i="1" s="1"/>
  <c r="AA25" i="1" s="1"/>
  <c r="X35" i="1"/>
  <c r="Y35" i="1" s="1"/>
  <c r="T35" i="1"/>
  <c r="V35" i="1" s="1"/>
  <c r="AA35" i="1" s="1"/>
  <c r="X29" i="1"/>
  <c r="Y29" i="1" s="1"/>
  <c r="T29" i="1"/>
  <c r="V29" i="1" s="1"/>
  <c r="AA29" i="1" s="1"/>
  <c r="X20" i="1"/>
  <c r="Y20" i="1" s="1"/>
  <c r="T20" i="1"/>
  <c r="V20" i="1" s="1"/>
  <c r="AA20" i="1" s="1"/>
  <c r="X22" i="1"/>
  <c r="Y22" i="1" s="1"/>
  <c r="T22" i="1"/>
  <c r="V22" i="1" s="1"/>
  <c r="AA22" i="1" s="1"/>
  <c r="X32" i="1"/>
  <c r="Y32" i="1" s="1"/>
  <c r="T32" i="1"/>
  <c r="V32" i="1" s="1"/>
  <c r="AA32" i="1" s="1"/>
  <c r="X67" i="1"/>
  <c r="Y67" i="1" s="1"/>
  <c r="T67" i="1"/>
  <c r="V67" i="1" s="1"/>
  <c r="AA67" i="1" s="1"/>
  <c r="X21" i="1"/>
  <c r="Y21" i="1" s="1"/>
  <c r="T21" i="1"/>
  <c r="V21" i="1" s="1"/>
  <c r="AA21" i="1" s="1"/>
  <c r="X31" i="1"/>
  <c r="Y31" i="1" s="1"/>
  <c r="T31" i="1"/>
  <c r="V31" i="1" s="1"/>
  <c r="AA31" i="1" s="1"/>
  <c r="X24" i="1"/>
  <c r="Y24" i="1" s="1"/>
  <c r="T24" i="1"/>
  <c r="V24" i="1" s="1"/>
  <c r="AA24" i="1" s="1"/>
  <c r="X51" i="1" l="1"/>
  <c r="Y51" i="1" s="1"/>
  <c r="X49" i="1"/>
  <c r="Y49" i="1" s="1"/>
  <c r="AA76" i="1"/>
  <c r="W76" i="1" l="1"/>
  <c r="Q76" i="1"/>
  <c r="Y76" i="1" l="1"/>
  <c r="R76" i="1"/>
  <c r="U76" i="1" s="1"/>
  <c r="V76" i="1" s="1"/>
  <c r="X76" i="1" s="1"/>
  <c r="P77" i="1" s="1"/>
  <c r="Z77" i="1" s="1"/>
  <c r="AA77" i="1" l="1"/>
  <c r="W77" i="1" l="1"/>
  <c r="Q77" i="1"/>
  <c r="Y77" i="1" l="1"/>
  <c r="R77" i="1"/>
  <c r="U77" i="1" s="1"/>
  <c r="V77" i="1" s="1"/>
  <c r="X77" i="1" s="1"/>
  <c r="P78" i="1" s="1"/>
  <c r="Z78" i="1" s="1"/>
  <c r="AA78" i="1" l="1"/>
  <c r="W78" i="1" l="1"/>
  <c r="Q78" i="1"/>
  <c r="Y78" i="1" l="1"/>
  <c r="R78" i="1"/>
  <c r="U78" i="1" l="1"/>
  <c r="V78" i="1" s="1"/>
  <c r="X78" i="1" s="1"/>
  <c r="P79" i="1" s="1"/>
  <c r="Z79" i="1" s="1"/>
  <c r="AA79" i="1" l="1"/>
  <c r="W79" i="1" l="1"/>
  <c r="Q79" i="1"/>
  <c r="Y79" i="1" l="1"/>
  <c r="R79" i="1"/>
  <c r="U79" i="1" s="1"/>
  <c r="V79" i="1" s="1"/>
  <c r="X79" i="1" s="1"/>
  <c r="P80" i="1" s="1"/>
  <c r="Z80" i="1" s="1"/>
  <c r="AA80" i="1" l="1"/>
  <c r="W80" i="1" l="1"/>
  <c r="Q80" i="1"/>
  <c r="R80" i="1" l="1"/>
  <c r="U80" i="1" s="1"/>
  <c r="V80" i="1" s="1"/>
  <c r="X80" i="1" s="1"/>
  <c r="P81" i="1" s="1"/>
  <c r="Z81" i="1" s="1"/>
  <c r="Y80" i="1"/>
  <c r="AA81" i="1" l="1"/>
  <c r="W81" i="1" l="1"/>
  <c r="Q81" i="1"/>
  <c r="R81" i="1" l="1"/>
  <c r="U81" i="1" s="1"/>
  <c r="V81" i="1" s="1"/>
  <c r="X81" i="1" s="1"/>
  <c r="P82" i="1" s="1"/>
  <c r="Z82" i="1" s="1"/>
  <c r="Y81" i="1"/>
  <c r="AA82" i="1" l="1"/>
  <c r="W82" i="1" l="1"/>
  <c r="Q82" i="1"/>
  <c r="Y82" i="1" l="1"/>
  <c r="R82" i="1"/>
  <c r="U82" i="1" s="1"/>
  <c r="V82" i="1" s="1"/>
  <c r="X82" i="1" s="1"/>
  <c r="P83" i="1" s="1"/>
  <c r="Z83" i="1" s="1"/>
  <c r="AA83" i="1" l="1"/>
  <c r="W83" i="1" l="1"/>
  <c r="Q83" i="1"/>
  <c r="Y83" i="1" l="1"/>
  <c r="R83" i="1"/>
  <c r="U83" i="1" s="1"/>
  <c r="V83" i="1" s="1"/>
  <c r="X83" i="1" s="1"/>
  <c r="P84" i="1" s="1"/>
  <c r="Z84" i="1" s="1"/>
  <c r="AA84" i="1" l="1"/>
  <c r="W84" i="1" l="1"/>
  <c r="Q84" i="1"/>
  <c r="R84" i="1" l="1"/>
  <c r="U84" i="1" s="1"/>
  <c r="V84" i="1" s="1"/>
  <c r="X84" i="1" s="1"/>
  <c r="P85" i="1" s="1"/>
  <c r="Z85" i="1" s="1"/>
  <c r="Y84" i="1"/>
  <c r="AA85" i="1" l="1"/>
  <c r="W85" i="1" l="1"/>
  <c r="Q85" i="1"/>
  <c r="R85" i="1" l="1"/>
  <c r="U85" i="1" s="1"/>
  <c r="V85" i="1" s="1"/>
  <c r="X85" i="1" s="1"/>
  <c r="P86" i="1" s="1"/>
  <c r="Z86" i="1" s="1"/>
  <c r="Y85" i="1"/>
  <c r="AA86" i="1" l="1"/>
  <c r="W86" i="1" l="1"/>
  <c r="Q86" i="1"/>
  <c r="R86" i="1" l="1"/>
  <c r="U86" i="1" s="1"/>
  <c r="V86" i="1" s="1"/>
  <c r="X86" i="1" s="1"/>
  <c r="P87" i="1" s="1"/>
  <c r="Z87" i="1" s="1"/>
  <c r="Y86" i="1"/>
  <c r="AA87" i="1" l="1"/>
  <c r="W87" i="1" l="1"/>
  <c r="Q87" i="1"/>
  <c r="Y87" i="1" l="1"/>
  <c r="R87" i="1"/>
  <c r="U87" i="1" s="1"/>
  <c r="V87" i="1" s="1"/>
  <c r="X87" i="1" s="1"/>
  <c r="P88" i="1" s="1"/>
  <c r="Z88" i="1" s="1"/>
  <c r="AA88" i="1" l="1"/>
  <c r="W88" i="1" l="1"/>
  <c r="Q88" i="1"/>
  <c r="Y88" i="1" l="1"/>
  <c r="R88" i="1"/>
  <c r="U88" i="1" s="1"/>
  <c r="V88" i="1" s="1"/>
  <c r="X88" i="1" s="1"/>
  <c r="P89" i="1" s="1"/>
  <c r="Z89" i="1" s="1"/>
  <c r="AA89" i="1" l="1"/>
  <c r="W89" i="1" l="1"/>
  <c r="Q89" i="1"/>
  <c r="R89" i="1" l="1"/>
  <c r="U89" i="1" s="1"/>
  <c r="V89" i="1" s="1"/>
  <c r="X89" i="1" s="1"/>
  <c r="P90" i="1" s="1"/>
  <c r="Z90" i="1" s="1"/>
  <c r="Y89" i="1"/>
  <c r="AA90" i="1" l="1"/>
  <c r="W90" i="1" l="1"/>
  <c r="Q90" i="1"/>
  <c r="R90" i="1" l="1"/>
  <c r="U90" i="1" s="1"/>
  <c r="V90" i="1" s="1"/>
  <c r="X90" i="1" s="1"/>
  <c r="P91" i="1" s="1"/>
  <c r="Z91" i="1" s="1"/>
  <c r="Y90" i="1"/>
  <c r="AA91" i="1" l="1"/>
  <c r="W91" i="1" l="1"/>
  <c r="Q91" i="1"/>
  <c r="Y91" i="1" l="1"/>
  <c r="R91" i="1"/>
  <c r="U91" i="1" s="1"/>
  <c r="V91" i="1" s="1"/>
  <c r="X91" i="1" s="1"/>
  <c r="P92" i="1" s="1"/>
  <c r="Z92" i="1" s="1"/>
  <c r="AA92" i="1" l="1"/>
  <c r="W92" i="1" l="1"/>
  <c r="Q92" i="1"/>
  <c r="R92" i="1" l="1"/>
  <c r="U92" i="1" s="1"/>
  <c r="V92" i="1" s="1"/>
  <c r="X92" i="1" s="1"/>
  <c r="P93" i="1" s="1"/>
  <c r="Z93" i="1" s="1"/>
  <c r="Y92" i="1"/>
  <c r="AA93" i="1" l="1"/>
  <c r="W93" i="1" l="1"/>
  <c r="Q93" i="1"/>
  <c r="Y93" i="1" l="1"/>
  <c r="R93" i="1"/>
  <c r="U93" i="1" s="1"/>
  <c r="V93" i="1" s="1"/>
  <c r="X93" i="1" s="1"/>
  <c r="P94" i="1" s="1"/>
  <c r="Z94" i="1" s="1"/>
  <c r="AA94" i="1" l="1"/>
  <c r="W94" i="1" l="1"/>
  <c r="Q94" i="1"/>
  <c r="Y94" i="1" l="1"/>
  <c r="R94" i="1"/>
  <c r="U94" i="1" s="1"/>
  <c r="V94" i="1" s="1"/>
  <c r="X94" i="1" s="1"/>
  <c r="P95" i="1" s="1"/>
  <c r="Z95" i="1" s="1"/>
  <c r="AA95" i="1" l="1"/>
  <c r="W95" i="1" l="1"/>
  <c r="Q95" i="1"/>
  <c r="R95" i="1" l="1"/>
  <c r="U95" i="1" s="1"/>
  <c r="V95" i="1" s="1"/>
  <c r="X95" i="1" s="1"/>
  <c r="P96" i="1" s="1"/>
  <c r="Z96" i="1" s="1"/>
  <c r="Y95" i="1"/>
  <c r="AA96" i="1" l="1"/>
  <c r="W96" i="1" l="1"/>
  <c r="Q96" i="1"/>
  <c r="R96" i="1" l="1"/>
  <c r="U96" i="1" s="1"/>
  <c r="V96" i="1" s="1"/>
  <c r="X96" i="1" s="1"/>
  <c r="P97" i="1" s="1"/>
  <c r="Z97" i="1" s="1"/>
  <c r="Y96" i="1"/>
  <c r="AA97" i="1" l="1"/>
  <c r="W97" i="1" l="1"/>
  <c r="Q97" i="1"/>
  <c r="Y97" i="1" l="1"/>
  <c r="R97" i="1"/>
  <c r="U97" i="1" s="1"/>
  <c r="V97" i="1" s="1"/>
  <c r="X97" i="1" s="1"/>
  <c r="P98" i="1" s="1"/>
  <c r="Z98" i="1" s="1"/>
  <c r="AA98" i="1" l="1"/>
  <c r="W98" i="1" l="1"/>
  <c r="Q98" i="1"/>
  <c r="R98" i="1" l="1"/>
  <c r="U98" i="1" s="1"/>
  <c r="V98" i="1" s="1"/>
  <c r="X98" i="1" s="1"/>
  <c r="P99" i="1" s="1"/>
  <c r="Y98" i="1"/>
  <c r="Z99" i="1" l="1"/>
  <c r="AA99" i="1"/>
  <c r="W99" i="1" l="1"/>
  <c r="Q99" i="1"/>
  <c r="R99" i="1" l="1"/>
  <c r="U99" i="1" s="1"/>
  <c r="V99" i="1" s="1"/>
  <c r="X99" i="1" s="1"/>
  <c r="P100" i="1" s="1"/>
  <c r="Y99" i="1"/>
  <c r="Z100" i="1" l="1"/>
  <c r="AA100" i="1"/>
  <c r="W100" i="1" l="1"/>
  <c r="Q100" i="1"/>
  <c r="R100" i="1" l="1"/>
  <c r="Y100" i="1"/>
  <c r="U100" i="1" l="1"/>
  <c r="V100" i="1" s="1"/>
  <c r="X100" i="1" s="1"/>
  <c r="P101" i="1" s="1"/>
  <c r="Z101" i="1" l="1"/>
  <c r="AA101" i="1"/>
  <c r="W101" i="1" l="1"/>
  <c r="Q101" i="1"/>
  <c r="Y101" i="1" l="1"/>
  <c r="R101" i="1"/>
  <c r="U101" i="1" l="1"/>
  <c r="V101" i="1" s="1"/>
  <c r="X101" i="1" s="1"/>
  <c r="P102" i="1" s="1"/>
  <c r="Z102" i="1" l="1"/>
  <c r="AA102" i="1"/>
  <c r="W102" i="1" l="1"/>
  <c r="Q102" i="1"/>
  <c r="Y102" i="1" l="1"/>
  <c r="R102" i="1"/>
  <c r="U102" i="1" l="1"/>
  <c r="V102" i="1" s="1"/>
  <c r="X102" i="1" s="1"/>
  <c r="P103" i="1" s="1"/>
  <c r="Z103" i="1" l="1"/>
  <c r="AA103" i="1"/>
  <c r="W103" i="1" l="1"/>
  <c r="Q103" i="1"/>
  <c r="Y103" i="1" l="1"/>
  <c r="R103" i="1"/>
  <c r="U103" i="1" l="1"/>
  <c r="V103" i="1" s="1"/>
  <c r="X103" i="1" s="1"/>
  <c r="P104" i="1" s="1"/>
  <c r="Z104" i="1" l="1"/>
  <c r="AA104" i="1"/>
  <c r="W104" i="1" l="1"/>
  <c r="Q104" i="1"/>
  <c r="Y104" i="1" l="1"/>
  <c r="R104" i="1"/>
  <c r="U104" i="1" l="1"/>
  <c r="V104" i="1" s="1"/>
  <c r="X104" i="1" s="1"/>
  <c r="P105" i="1" s="1"/>
  <c r="Z105" i="1" l="1"/>
  <c r="AA105" i="1"/>
  <c r="W105" i="1" l="1"/>
  <c r="Q105" i="1"/>
  <c r="R105" i="1" l="1"/>
  <c r="U105" i="1" s="1"/>
  <c r="V105" i="1" s="1"/>
  <c r="X105" i="1" s="1"/>
  <c r="P106" i="1" s="1"/>
  <c r="Y105" i="1"/>
  <c r="Z106" i="1" l="1"/>
  <c r="AA106" i="1"/>
  <c r="Q106" i="1" l="1"/>
  <c r="W106" i="1"/>
  <c r="Y106" i="1" l="1"/>
  <c r="R106" i="1"/>
  <c r="U106" i="1" s="1"/>
  <c r="V106" i="1" s="1"/>
  <c r="X106" i="1" s="1"/>
  <c r="P107" i="1" s="1"/>
  <c r="Z107" i="1" l="1"/>
  <c r="AA107" i="1"/>
  <c r="Q107" i="1" l="1"/>
  <c r="W107" i="1"/>
  <c r="R107" i="1" l="1"/>
  <c r="Y107" i="1"/>
  <c r="U107" i="1" l="1"/>
  <c r="V107" i="1" s="1"/>
  <c r="X107" i="1" s="1"/>
  <c r="P108" i="1" s="1"/>
  <c r="Z108" i="1" l="1"/>
  <c r="AA108" i="1"/>
  <c r="W108" i="1" l="1"/>
  <c r="Q108" i="1"/>
  <c r="Y108" i="1" l="1"/>
  <c r="R108" i="1"/>
  <c r="U108" i="1" l="1"/>
  <c r="V108" i="1" s="1"/>
  <c r="X108" i="1" s="1"/>
  <c r="P109" i="1" s="1"/>
  <c r="Z109" i="1" l="1"/>
  <c r="AA109" i="1"/>
  <c r="W109" i="1" l="1"/>
  <c r="Q109" i="1"/>
  <c r="R109" i="1" l="1"/>
  <c r="Y109" i="1"/>
  <c r="U109" i="1" l="1"/>
  <c r="V109" i="1" s="1"/>
  <c r="X109" i="1" s="1"/>
  <c r="P110" i="1" s="1"/>
  <c r="Z110" i="1" l="1"/>
  <c r="AA110" i="1"/>
  <c r="Q110" i="1" l="1"/>
  <c r="W110" i="1"/>
  <c r="Y110" i="1" l="1"/>
  <c r="R110" i="1"/>
  <c r="U110" i="1" l="1"/>
  <c r="V110" i="1" s="1"/>
  <c r="X110" i="1" s="1"/>
  <c r="P111" i="1" s="1"/>
  <c r="Z111" i="1" l="1"/>
  <c r="AA111" i="1"/>
  <c r="W111" i="1" l="1"/>
  <c r="Q111" i="1"/>
  <c r="R111" i="1" l="1"/>
  <c r="U111" i="1" s="1"/>
  <c r="V111" i="1" s="1"/>
  <c r="X111" i="1" s="1"/>
  <c r="P112" i="1" s="1"/>
  <c r="Y111" i="1"/>
  <c r="Z112" i="1" l="1"/>
  <c r="AA112" i="1"/>
  <c r="W112" i="1" l="1"/>
  <c r="Q112" i="1"/>
  <c r="R112" i="1" l="1"/>
  <c r="U112" i="1" s="1"/>
  <c r="V112" i="1" s="1"/>
  <c r="X112" i="1" s="1"/>
  <c r="P113" i="1" s="1"/>
  <c r="Y112" i="1"/>
  <c r="Z113" i="1" l="1"/>
  <c r="AA113" i="1"/>
  <c r="W113" i="1" l="1"/>
  <c r="Q113" i="1"/>
  <c r="R113" i="1" l="1"/>
  <c r="U113" i="1" s="1"/>
  <c r="V113" i="1" s="1"/>
  <c r="X113" i="1" s="1"/>
  <c r="P114" i="1" s="1"/>
  <c r="Y113" i="1"/>
  <c r="Z114" i="1" l="1"/>
  <c r="AA114" i="1"/>
  <c r="Q114" i="1" l="1"/>
  <c r="W114" i="1"/>
  <c r="Y114" i="1" l="1"/>
  <c r="R114" i="1"/>
  <c r="U114" i="1" l="1"/>
  <c r="V114" i="1" s="1"/>
  <c r="X114" i="1" s="1"/>
  <c r="P115" i="1" s="1"/>
  <c r="Z115" i="1" l="1"/>
  <c r="AA115" i="1"/>
  <c r="Q115" i="1" l="1"/>
  <c r="W115" i="1"/>
  <c r="Y115" i="1" l="1"/>
  <c r="R115" i="1"/>
  <c r="U115" i="1" s="1"/>
  <c r="V115" i="1" s="1"/>
  <c r="X115" i="1" s="1"/>
  <c r="P116" i="1" s="1"/>
  <c r="Z116" i="1" l="1"/>
  <c r="AA116" i="1"/>
  <c r="Q116" i="1" l="1"/>
  <c r="W116" i="1"/>
  <c r="Y116" i="1" l="1"/>
  <c r="R116" i="1"/>
  <c r="U116" i="1" l="1"/>
  <c r="V116" i="1" s="1"/>
  <c r="X116" i="1" s="1"/>
  <c r="P117" i="1" s="1"/>
  <c r="Z117" i="1" l="1"/>
  <c r="AA117" i="1"/>
  <c r="Q117" i="1" l="1"/>
  <c r="W117" i="1"/>
  <c r="Y117" i="1" l="1"/>
  <c r="R117" i="1"/>
  <c r="U117" i="1" s="1"/>
  <c r="V117" i="1" s="1"/>
  <c r="X117" i="1" s="1"/>
  <c r="P118" i="1" s="1"/>
  <c r="Z118" i="1" l="1"/>
  <c r="AA118" i="1"/>
  <c r="Q118" i="1" l="1"/>
  <c r="W118" i="1"/>
  <c r="R118" i="1" l="1"/>
  <c r="Y118" i="1"/>
  <c r="U118" i="1" l="1"/>
  <c r="V118" i="1" s="1"/>
  <c r="X118" i="1" s="1"/>
  <c r="P119" i="1" s="1"/>
  <c r="Z119" i="1" l="1"/>
  <c r="AA119" i="1"/>
  <c r="Q119" i="1" l="1"/>
  <c r="W119" i="1"/>
  <c r="Y119" i="1" l="1"/>
  <c r="R119" i="1"/>
  <c r="U119" i="1" s="1"/>
  <c r="V119" i="1" s="1"/>
  <c r="X119" i="1" s="1"/>
  <c r="P120" i="1" s="1"/>
  <c r="Z120" i="1" l="1"/>
  <c r="AA120" i="1"/>
  <c r="Q120" i="1" l="1"/>
  <c r="W120" i="1"/>
  <c r="R120" i="1" l="1"/>
  <c r="Y120" i="1"/>
  <c r="U120" i="1" l="1"/>
  <c r="V120" i="1" s="1"/>
  <c r="X120" i="1" s="1"/>
  <c r="P121" i="1" s="1"/>
  <c r="Z121" i="1" l="1"/>
  <c r="AA121" i="1"/>
  <c r="W121" i="1" l="1"/>
  <c r="Q121" i="1"/>
  <c r="R121" i="1" l="1"/>
  <c r="Y121" i="1"/>
  <c r="U121" i="1" l="1"/>
  <c r="V121" i="1" s="1"/>
  <c r="X121" i="1" s="1"/>
  <c r="P122" i="1" s="1"/>
  <c r="Z122" i="1" l="1"/>
  <c r="AA122" i="1"/>
  <c r="Q122" i="1" l="1"/>
  <c r="W122" i="1"/>
  <c r="Y122" i="1" l="1"/>
  <c r="R122" i="1"/>
  <c r="U122" i="1" s="1"/>
  <c r="V122" i="1" s="1"/>
  <c r="X122" i="1" s="1"/>
  <c r="P123" i="1" s="1"/>
  <c r="Z123" i="1" l="1"/>
  <c r="AA123" i="1"/>
  <c r="Q123" i="1" l="1"/>
  <c r="W123" i="1"/>
  <c r="R123" i="1" l="1"/>
  <c r="U123" i="1" s="1"/>
  <c r="V123" i="1" s="1"/>
  <c r="X123" i="1" s="1"/>
  <c r="P124" i="1" s="1"/>
  <c r="Y123" i="1"/>
  <c r="Z124" i="1" l="1"/>
  <c r="AA124" i="1"/>
  <c r="Q124" i="1" l="1"/>
  <c r="W124" i="1"/>
  <c r="Y124" i="1" l="1"/>
  <c r="R124" i="1"/>
  <c r="U124" i="1" s="1"/>
  <c r="V124" i="1" s="1"/>
  <c r="X124" i="1" s="1"/>
  <c r="P125" i="1" s="1"/>
  <c r="Z125" i="1" l="1"/>
  <c r="AA125" i="1"/>
  <c r="Q125" i="1" l="1"/>
  <c r="W125" i="1"/>
  <c r="R125" i="1" l="1"/>
  <c r="Y125" i="1"/>
  <c r="U125" i="1" l="1"/>
  <c r="V125" i="1" s="1"/>
  <c r="X125" i="1" s="1"/>
  <c r="P126" i="1" s="1"/>
  <c r="Z126" i="1" l="1"/>
  <c r="AA126" i="1"/>
  <c r="Q126" i="1" l="1"/>
  <c r="W126" i="1"/>
  <c r="Y126" i="1" l="1"/>
  <c r="R126" i="1"/>
  <c r="U126" i="1" s="1"/>
  <c r="V126" i="1" s="1"/>
  <c r="X126" i="1" s="1"/>
  <c r="P127" i="1" s="1"/>
  <c r="Z127" i="1" l="1"/>
  <c r="AA127" i="1"/>
  <c r="Q127" i="1" l="1"/>
  <c r="W127" i="1"/>
  <c r="R127" i="1" l="1"/>
  <c r="Y127" i="1"/>
  <c r="U127" i="1" l="1"/>
  <c r="V127" i="1" s="1"/>
  <c r="X127" i="1" s="1"/>
  <c r="P128" i="1" s="1"/>
  <c r="Z128" i="1" l="1"/>
  <c r="AA128" i="1"/>
  <c r="Q128" i="1" l="1"/>
  <c r="W128" i="1"/>
  <c r="Y128" i="1" l="1"/>
  <c r="R128" i="1"/>
  <c r="U128" i="1" s="1"/>
  <c r="V128" i="1" s="1"/>
  <c r="X128" i="1" s="1"/>
  <c r="P129" i="1" s="1"/>
  <c r="Z129" i="1" l="1"/>
  <c r="AA129" i="1"/>
  <c r="Q129" i="1" l="1"/>
  <c r="W129" i="1"/>
  <c r="Y129" i="1" l="1"/>
  <c r="R129" i="1"/>
  <c r="U129" i="1" s="1"/>
  <c r="V129" i="1" s="1"/>
  <c r="X129" i="1" s="1"/>
  <c r="P130" i="1" s="1"/>
  <c r="Z130" i="1" l="1"/>
  <c r="AA130" i="1"/>
  <c r="Q130" i="1" l="1"/>
  <c r="W130" i="1"/>
  <c r="R130" i="1" l="1"/>
  <c r="U130" i="1" s="1"/>
  <c r="V130" i="1" s="1"/>
  <c r="X130" i="1" s="1"/>
  <c r="P131" i="1" s="1"/>
  <c r="Y130" i="1"/>
  <c r="Z131" i="1" l="1"/>
  <c r="AA131" i="1"/>
  <c r="Q131" i="1" l="1"/>
  <c r="W131" i="1"/>
  <c r="R131" i="1" l="1"/>
  <c r="U131" i="1" s="1"/>
  <c r="V131" i="1" s="1"/>
  <c r="X131" i="1" s="1"/>
  <c r="P132" i="1" s="1"/>
  <c r="Y131" i="1"/>
  <c r="Z132" i="1" l="1"/>
  <c r="AA132" i="1"/>
  <c r="Q132" i="1" l="1"/>
  <c r="W132" i="1"/>
  <c r="R132" i="1" l="1"/>
  <c r="U132" i="1" s="1"/>
  <c r="V132" i="1" s="1"/>
  <c r="X132" i="1" s="1"/>
  <c r="P133" i="1" s="1"/>
  <c r="Y132" i="1"/>
  <c r="Z133" i="1" l="1"/>
  <c r="AA133" i="1"/>
  <c r="Q133" i="1" l="1"/>
  <c r="W133" i="1"/>
  <c r="R133" i="1" l="1"/>
  <c r="U133" i="1" s="1"/>
  <c r="V133" i="1" s="1"/>
  <c r="X133" i="1" s="1"/>
  <c r="P134" i="1" s="1"/>
  <c r="Y133" i="1"/>
  <c r="Z134" i="1" l="1"/>
  <c r="AA134" i="1"/>
  <c r="Q134" i="1" l="1"/>
  <c r="W134" i="1"/>
  <c r="R134" i="1" l="1"/>
  <c r="U134" i="1" s="1"/>
  <c r="V134" i="1" s="1"/>
  <c r="X134" i="1" s="1"/>
  <c r="Y134" i="1"/>
  <c r="B39" i="1"/>
  <c r="B40" i="1"/>
  <c r="K2" i="3"/>
  <c r="K4" i="3" l="1"/>
  <c r="K5" i="3"/>
</calcChain>
</file>

<file path=xl/sharedStrings.xml><?xml version="1.0" encoding="utf-8"?>
<sst xmlns="http://schemas.openxmlformats.org/spreadsheetml/2006/main" count="275" uniqueCount="201">
  <si>
    <t>T</t>
  </si>
  <si>
    <t>KIAS</t>
  </si>
  <si>
    <t>CD0</t>
  </si>
  <si>
    <t>Wt</t>
  </si>
  <si>
    <t>MACH</t>
  </si>
  <si>
    <t>q (psf)</t>
  </si>
  <si>
    <t>CL</t>
  </si>
  <si>
    <t>Sref</t>
  </si>
  <si>
    <t>sq.ft.</t>
  </si>
  <si>
    <t>lbf</t>
  </si>
  <si>
    <t>CD</t>
  </si>
  <si>
    <t>Drag (lbf)</t>
  </si>
  <si>
    <t>AR * e</t>
  </si>
  <si>
    <t>Ps</t>
  </si>
  <si>
    <t>neng</t>
  </si>
  <si>
    <t>CONFIGURATION VARIABLES</t>
  </si>
  <si>
    <t>Clmax</t>
  </si>
  <si>
    <t>Stall Speed Ratio</t>
  </si>
  <si>
    <t>L/D</t>
  </si>
  <si>
    <t>M(L/D)</t>
  </si>
  <si>
    <t>RUNWAY PERFORMANCE</t>
  </si>
  <si>
    <t>Drag</t>
  </si>
  <si>
    <t>Stall Speed</t>
  </si>
  <si>
    <t>Stall Speed "q"</t>
  </si>
  <si>
    <t>psf</t>
  </si>
  <si>
    <t>stall speed mach</t>
  </si>
  <si>
    <t>t (sec)</t>
  </si>
  <si>
    <t>v (ft/s)</t>
  </si>
  <si>
    <t>dist (ft)</t>
  </si>
  <si>
    <t>CL @ a=0</t>
  </si>
  <si>
    <t>Lift</t>
  </si>
  <si>
    <t>Stall Speed Margin (kias)</t>
  </si>
  <si>
    <t>Thrust-estimate (lbf)</t>
  </si>
  <si>
    <t>stall speed KIAS</t>
  </si>
  <si>
    <t>kias</t>
  </si>
  <si>
    <t>ROC (ft/min)</t>
  </si>
  <si>
    <t>ROC @ Clmax (ft/min)</t>
  </si>
  <si>
    <t>Max. Instant G's</t>
  </si>
  <si>
    <t>rolling resistance</t>
  </si>
  <si>
    <t>a</t>
  </si>
  <si>
    <t>b</t>
  </si>
  <si>
    <t>c</t>
  </si>
  <si>
    <t>Weight Per Cell</t>
  </si>
  <si>
    <t>Battery Weight</t>
  </si>
  <si>
    <t>Number of Cells</t>
  </si>
  <si>
    <t>Watt/Cell</t>
  </si>
  <si>
    <t>cells</t>
  </si>
  <si>
    <t>W/cell</t>
  </si>
  <si>
    <t>Watts</t>
  </si>
  <si>
    <t>Air Speed</t>
  </si>
  <si>
    <t>Thrust</t>
  </si>
  <si>
    <t>x^2</t>
  </si>
  <si>
    <t>x</t>
  </si>
  <si>
    <t>Graupner 5.5x4.3</t>
  </si>
  <si>
    <t>230 W Nominal</t>
  </si>
  <si>
    <t>HeadWind</t>
  </si>
  <si>
    <t>kts</t>
  </si>
  <si>
    <t>lbm/cell</t>
  </si>
  <si>
    <t xml:space="preserve">lbm  </t>
  </si>
  <si>
    <t>Battery Watts @ 10 min</t>
  </si>
  <si>
    <t>Battery Watts @ 3 min</t>
  </si>
  <si>
    <t>Power Draw (2 motors)</t>
  </si>
  <si>
    <t>AIR DEVILS TAKEOFF / LEVEL AND PERFORMANCE CODE</t>
  </si>
  <si>
    <t>Aircraft Weight</t>
  </si>
  <si>
    <t>lbm</t>
  </si>
  <si>
    <t>Mission 1 Weight</t>
  </si>
  <si>
    <t>Misssion 2 Weight</t>
  </si>
  <si>
    <t>Mission 3 Weight</t>
  </si>
  <si>
    <t># Pax</t>
  </si>
  <si>
    <t>oz</t>
  </si>
  <si>
    <t>Wt per pax</t>
  </si>
  <si>
    <t># Blox</t>
  </si>
  <si>
    <t>Wt per blox</t>
  </si>
  <si>
    <t>Mission 2 Top Speed</t>
  </si>
  <si>
    <t>Est Lap Time</t>
  </si>
  <si>
    <t>sec</t>
  </si>
  <si>
    <t>Mission 2 (3 lap time)</t>
  </si>
  <si>
    <t>Mission 3 Top Speed</t>
  </si>
  <si>
    <t>Mission 3 (10 min laps)</t>
  </si>
  <si>
    <t>laps</t>
  </si>
  <si>
    <t>Wingspan</t>
  </si>
  <si>
    <t>ft</t>
  </si>
  <si>
    <t>AR = span ^ 2 / Sref  ==&gt; span = sqrt( AR * Sref)</t>
  </si>
  <si>
    <t>in</t>
  </si>
  <si>
    <t>benchmark</t>
  </si>
  <si>
    <t>Mission 1 projected score</t>
  </si>
  <si>
    <t>Mission 2 projected score</t>
  </si>
  <si>
    <t>Mission 3 projected score</t>
  </si>
  <si>
    <t>RAC</t>
  </si>
  <si>
    <t>Overall Score</t>
  </si>
  <si>
    <t>Est Report Score</t>
  </si>
  <si>
    <t>pax</t>
  </si>
  <si>
    <t xml:space="preserve">oz </t>
  </si>
  <si>
    <t>payload</t>
  </si>
  <si>
    <t>Stall Speed - Mission 1</t>
  </si>
  <si>
    <t>Top Speed - Mission 1</t>
  </si>
  <si>
    <t>T/O dist - Mission 1</t>
  </si>
  <si>
    <t>Stall Speed - Mission 2</t>
  </si>
  <si>
    <t>Top Speed - Mission 2</t>
  </si>
  <si>
    <t>T/O dist - Mission 2</t>
  </si>
  <si>
    <t>T/O dist - Mission 3</t>
  </si>
  <si>
    <t>Stall Speed - Mission 3</t>
  </si>
  <si>
    <t>Top Speed - Mission 3</t>
  </si>
  <si>
    <t>1-g</t>
  </si>
  <si>
    <t xml:space="preserve"> @ CLmax</t>
  </si>
  <si>
    <t>Empty Weight (minus bat)</t>
  </si>
  <si>
    <t>Spi</t>
  </si>
  <si>
    <t>AR</t>
  </si>
  <si>
    <t>ZERO LIFT DRAG BUILDUP</t>
  </si>
  <si>
    <t>Design Conditions - nominally sea level</t>
  </si>
  <si>
    <t>Des_KIAS</t>
  </si>
  <si>
    <t>Des_Mach</t>
  </si>
  <si>
    <t>Re/ft</t>
  </si>
  <si>
    <t>q</t>
  </si>
  <si>
    <t>lbf/ft^2</t>
  </si>
  <si>
    <t>AIRCRAFT GEOMETRY</t>
  </si>
  <si>
    <t>ft^2</t>
  </si>
  <si>
    <t>Wspan</t>
  </si>
  <si>
    <t xml:space="preserve">ft </t>
  </si>
  <si>
    <t>Chord</t>
  </si>
  <si>
    <t>WING</t>
  </si>
  <si>
    <t>FUSE</t>
  </si>
  <si>
    <t>Swet</t>
  </si>
  <si>
    <t>FF</t>
  </si>
  <si>
    <t>Cf</t>
  </si>
  <si>
    <t>HT</t>
  </si>
  <si>
    <t>VT</t>
  </si>
  <si>
    <t>Re</t>
  </si>
  <si>
    <t>t/c</t>
  </si>
  <si>
    <t>OVERALL ZERO-LIFT DRAG ESTIMATE</t>
  </si>
  <si>
    <t>FUSE BASE</t>
  </si>
  <si>
    <t>LANDING GEAR</t>
  </si>
  <si>
    <t>HORZ TAIL</t>
  </si>
  <si>
    <t>Splanform</t>
  </si>
  <si>
    <t>VERT TAIL</t>
  </si>
  <si>
    <t>FUSELAGE</t>
  </si>
  <si>
    <t>Length</t>
  </si>
  <si>
    <t>Width</t>
  </si>
  <si>
    <t>Height</t>
  </si>
  <si>
    <t>Base Area</t>
  </si>
  <si>
    <t>Tire Di</t>
  </si>
  <si>
    <t>Tire Wi</t>
  </si>
  <si>
    <t>BaseArea</t>
  </si>
  <si>
    <t>d/l</t>
  </si>
  <si>
    <t>28% CRUD</t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</si>
  <si>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CD0</t>
    </r>
  </si>
  <si>
    <t>sync</t>
  </si>
  <si>
    <t>penalty function  (=1 if OK, 0.1 if bat cap, t/o dist or maneuver margin is poor)</t>
  </si>
  <si>
    <t>Spec Ex Thrust</t>
  </si>
  <si>
    <t>Spec Ex Thrust @ CLmax</t>
  </si>
  <si>
    <t>Passengers/row</t>
  </si>
  <si>
    <t>Rows of Passengers</t>
  </si>
  <si>
    <t>Total passengers</t>
  </si>
  <si>
    <t>Cargo/row</t>
  </si>
  <si>
    <t>Cargo Rows</t>
  </si>
  <si>
    <t>Weight (oz)</t>
  </si>
  <si>
    <t>Passenger Weight (lb)</t>
  </si>
  <si>
    <t>Passenger Dimensions</t>
  </si>
  <si>
    <t>Cargo Weight (lb)</t>
  </si>
  <si>
    <t>Cargo Dimensions</t>
  </si>
  <si>
    <t>50% Pax Weight (M3)</t>
  </si>
  <si>
    <t>100% Pax Weight (M3)</t>
  </si>
  <si>
    <t>Min Width (in)</t>
  </si>
  <si>
    <t>Min Length (in)</t>
  </si>
  <si>
    <t>Min Height (in)</t>
  </si>
  <si>
    <t>Total Cargo</t>
  </si>
  <si>
    <t>Crud Width (in)</t>
  </si>
  <si>
    <t>Crud Height (in)</t>
  </si>
  <si>
    <t>Total Width (in)</t>
  </si>
  <si>
    <t>Total Length (in)</t>
  </si>
  <si>
    <t>Total height (in)</t>
  </si>
  <si>
    <t>full payload</t>
  </si>
  <si>
    <t>CDA</t>
  </si>
  <si>
    <t>\</t>
  </si>
  <si>
    <t>REDONE FOR SQUARE FUSELAGE</t>
  </si>
  <si>
    <t>Crud Length [Nose] (in)</t>
  </si>
  <si>
    <t>Crud Length [Tail] (in)</t>
  </si>
  <si>
    <t>SWET Calculations for rectangular plane</t>
  </si>
  <si>
    <t>Tail Swet (in^2)</t>
  </si>
  <si>
    <t>Nose Swet</t>
  </si>
  <si>
    <t>Total Fuse Swet</t>
  </si>
  <si>
    <t>Mid Swet</t>
  </si>
  <si>
    <t>Tail End Width (in)</t>
  </si>
  <si>
    <t>Tail End Height (in)</t>
  </si>
  <si>
    <t>LG Width (in)</t>
  </si>
  <si>
    <t>LG Height (in)</t>
  </si>
  <si>
    <t>Servo Width (in)</t>
  </si>
  <si>
    <t>Servo Height (in)</t>
  </si>
  <si>
    <t>Trunion Width (in)</t>
  </si>
  <si>
    <t>Trunion Height (in)</t>
  </si>
  <si>
    <t>Tail Area (in^2)</t>
  </si>
  <si>
    <t>LG Area (in^2)</t>
  </si>
  <si>
    <t>Servo Area (in^2)</t>
  </si>
  <si>
    <t>Trunion Area (in^2)</t>
  </si>
  <si>
    <t>Total Area (in^2)</t>
  </si>
  <si>
    <t>Surface</t>
  </si>
  <si>
    <t>in^2</t>
  </si>
  <si>
    <t>Aft-Facing Area</t>
  </si>
  <si>
    <t>ORIGINAL</t>
  </si>
  <si>
    <t>version 2.1.5 - w/ macros for trade studies, named cells, zero-lift-drag calculator, and aircraft dimension calculator</t>
  </si>
  <si>
    <t>Turning Stall Speed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</si>
</sst>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5" borderId="11" applyNumberFormat="0" applyAlignment="0" applyProtection="0"/>
  </cellStyleXfs>
  <cellXfs count="9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1"/>
    <xf numFmtId="0" fontId="4" fillId="3" borderId="0" xfId="3"/>
    <xf numFmtId="0" fontId="0" fillId="4" borderId="2" xfId="0" applyFill="1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2" fontId="0" fillId="0" borderId="2" xfId="0" applyNumberFormat="1" applyBorder="1"/>
    <xf numFmtId="165" fontId="0" fillId="0" borderId="2" xfId="0" applyNumberFormat="1" applyBorder="1"/>
    <xf numFmtId="9" fontId="0" fillId="0" borderId="2" xfId="2" applyNumberFormat="1" applyFont="1" applyBorder="1"/>
    <xf numFmtId="166" fontId="0" fillId="0" borderId="2" xfId="0" applyNumberFormat="1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2" fontId="0" fillId="0" borderId="9" xfId="0" applyNumberFormat="1" applyBorder="1"/>
    <xf numFmtId="165" fontId="0" fillId="0" borderId="9" xfId="0" applyNumberFormat="1" applyBorder="1"/>
    <xf numFmtId="9" fontId="0" fillId="0" borderId="9" xfId="2" applyNumberFormat="1" applyFont="1" applyBorder="1"/>
    <xf numFmtId="166" fontId="0" fillId="0" borderId="10" xfId="0" applyNumberFormat="1" applyBorder="1"/>
    <xf numFmtId="166" fontId="0" fillId="0" borderId="9" xfId="0" applyNumberFormat="1" applyBorder="1"/>
    <xf numFmtId="0" fontId="0" fillId="4" borderId="2" xfId="0" applyFill="1" applyBorder="1"/>
    <xf numFmtId="165" fontId="0" fillId="0" borderId="2" xfId="0" applyNumberFormat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5" fillId="5" borderId="11" xfId="4"/>
    <xf numFmtId="11" fontId="5" fillId="5" borderId="11" xfId="4" applyNumberFormat="1"/>
    <xf numFmtId="0" fontId="6" fillId="0" borderId="0" xfId="0" applyFont="1" applyAlignment="1">
      <alignment horizontal="center"/>
    </xf>
    <xf numFmtId="0" fontId="1" fillId="2" borderId="13" xfId="1" applyBorder="1"/>
    <xf numFmtId="0" fontId="7" fillId="0" borderId="0" xfId="0" applyFont="1" applyAlignment="1">
      <alignment horizontal="left"/>
    </xf>
    <xf numFmtId="0" fontId="4" fillId="3" borderId="0" xfId="3" applyBorder="1"/>
    <xf numFmtId="0" fontId="8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/>
    <xf numFmtId="0" fontId="0" fillId="0" borderId="0" xfId="0"/>
    <xf numFmtId="0" fontId="0" fillId="8" borderId="0" xfId="0" applyFill="1"/>
    <xf numFmtId="0" fontId="9" fillId="0" borderId="0" xfId="0" applyFont="1"/>
    <xf numFmtId="0" fontId="0" fillId="9" borderId="0" xfId="0" applyFill="1"/>
    <xf numFmtId="0" fontId="0" fillId="10" borderId="0" xfId="0" applyFill="1"/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2" fillId="10" borderId="0" xfId="0" applyFont="1" applyFill="1"/>
    <xf numFmtId="0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1" fillId="11" borderId="1" xfId="1" applyNumberFormat="1" applyFill="1"/>
    <xf numFmtId="2" fontId="1" fillId="11" borderId="1" xfId="1" applyNumberFormat="1" applyFill="1"/>
    <xf numFmtId="0" fontId="1" fillId="9" borderId="1" xfId="1" applyFill="1"/>
    <xf numFmtId="9" fontId="0" fillId="9" borderId="0" xfId="0" applyNumberFormat="1" applyFill="1"/>
    <xf numFmtId="9" fontId="0" fillId="9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9" borderId="16" xfId="0" applyFill="1" applyBorder="1"/>
    <xf numFmtId="0" fontId="0" fillId="6" borderId="17" xfId="0" applyFill="1" applyBorder="1"/>
    <xf numFmtId="0" fontId="0" fillId="12" borderId="17" xfId="0" applyFill="1" applyBorder="1"/>
    <xf numFmtId="0" fontId="0" fillId="6" borderId="18" xfId="0" applyFill="1" applyBorder="1"/>
    <xf numFmtId="0" fontId="0" fillId="6" borderId="14" xfId="0" applyFill="1" applyBorder="1"/>
    <xf numFmtId="0" fontId="0" fillId="9" borderId="14" xfId="0" applyFill="1" applyBorder="1"/>
    <xf numFmtId="0" fontId="0" fillId="12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6" borderId="0" xfId="0" applyFill="1" applyBorder="1"/>
    <xf numFmtId="0" fontId="0" fillId="6" borderId="20" xfId="0" applyFill="1" applyBorder="1"/>
    <xf numFmtId="0" fontId="0" fillId="12" borderId="18" xfId="0" applyFill="1" applyBorder="1"/>
    <xf numFmtId="0" fontId="0" fillId="6" borderId="21" xfId="0" applyFill="1" applyBorder="1"/>
    <xf numFmtId="0" fontId="0" fillId="9" borderId="21" xfId="0" applyFill="1" applyBorder="1"/>
    <xf numFmtId="0" fontId="0" fillId="0" borderId="0" xfId="0" applyBorder="1"/>
    <xf numFmtId="0" fontId="0" fillId="9" borderId="17" xfId="0" applyFill="1" applyBorder="1"/>
    <xf numFmtId="0" fontId="0" fillId="0" borderId="0" xfId="0" applyFill="1"/>
    <xf numFmtId="0" fontId="0" fillId="0" borderId="0" xfId="0" applyAlignment="1"/>
    <xf numFmtId="0" fontId="11" fillId="0" borderId="0" xfId="0" applyFont="1" applyAlignment="1">
      <alignment horizontal="center"/>
    </xf>
    <xf numFmtId="0" fontId="0" fillId="9" borderId="22" xfId="0" applyFill="1" applyBorder="1"/>
    <xf numFmtId="0" fontId="12" fillId="14" borderId="19" xfId="0" applyFont="1" applyFill="1" applyBorder="1"/>
    <xf numFmtId="0" fontId="12" fillId="14" borderId="0" xfId="0" applyFont="1" applyFill="1" applyBorder="1"/>
    <xf numFmtId="0" fontId="0" fillId="12" borderId="20" xfId="0" applyFill="1" applyBorder="1"/>
    <xf numFmtId="0" fontId="0" fillId="15" borderId="0" xfId="0" applyFill="1" applyAlignment="1">
      <alignment horizontal="center"/>
    </xf>
    <xf numFmtId="0" fontId="8" fillId="15" borderId="0" xfId="0" applyFont="1" applyFill="1" applyAlignment="1">
      <alignment horizontal="center"/>
    </xf>
    <xf numFmtId="0" fontId="2" fillId="0" borderId="12" xfId="0" applyFont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22" xfId="0" applyFill="1" applyBorder="1" applyAlignment="1">
      <alignment horizontal="center"/>
    </xf>
  </cellXfs>
  <cellStyles count="5">
    <cellStyle name="Check Cell" xfId="4" builtinId="23"/>
    <cellStyle name="Good" xfId="3" builtinId="26"/>
    <cellStyle name="Input" xfId="1" builtinId="20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AirSpeed</a:t>
            </a:r>
          </a:p>
        </c:rich>
      </c:tx>
      <c:layout>
        <c:manualLayout>
          <c:xMode val="edge"/>
          <c:yMode val="edge"/>
          <c:x val="0.29296814843389535"/>
          <c:y val="3.20733104238258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845406824146981"/>
                  <c:y val="-0.38866761446485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'Performance Data'!$B$6:$B$14</c:f>
              <c:numCache>
                <c:formatCode>General</c:formatCode>
                <c:ptCount val="9"/>
                <c:pt idx="0">
                  <c:v>8.4885999999999999</c:v>
                </c:pt>
                <c:pt idx="1">
                  <c:v>17.124500000000001</c:v>
                </c:pt>
                <c:pt idx="2">
                  <c:v>25.608000000000001</c:v>
                </c:pt>
                <c:pt idx="3">
                  <c:v>35.012900000000002</c:v>
                </c:pt>
                <c:pt idx="4">
                  <c:v>39.633200000000002</c:v>
                </c:pt>
                <c:pt idx="5">
                  <c:v>44.359299999999998</c:v>
                </c:pt>
                <c:pt idx="6">
                  <c:v>49.3264</c:v>
                </c:pt>
                <c:pt idx="7">
                  <c:v>54.162799999999997</c:v>
                </c:pt>
                <c:pt idx="8">
                  <c:v>59.412700000000001</c:v>
                </c:pt>
              </c:numCache>
            </c:numRef>
          </c:xVal>
          <c:yVal>
            <c:numRef>
              <c:f>'Performance Data'!$C$6:$C$14</c:f>
              <c:numCache>
                <c:formatCode>General</c:formatCode>
                <c:ptCount val="9"/>
                <c:pt idx="0">
                  <c:v>1.2971999999999999</c:v>
                </c:pt>
                <c:pt idx="1">
                  <c:v>1.2618</c:v>
                </c:pt>
                <c:pt idx="2">
                  <c:v>1.1561999999999999</c:v>
                </c:pt>
                <c:pt idx="3">
                  <c:v>0.9909</c:v>
                </c:pt>
                <c:pt idx="4">
                  <c:v>0.9647</c:v>
                </c:pt>
                <c:pt idx="5">
                  <c:v>0.87090000000000001</c:v>
                </c:pt>
                <c:pt idx="6">
                  <c:v>0.79720000000000002</c:v>
                </c:pt>
                <c:pt idx="7">
                  <c:v>0.70399999999999996</c:v>
                </c:pt>
                <c:pt idx="8">
                  <c:v>0.61890000000000001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DF-440D-A4B4-4E6EC8B7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53728"/>
        <c:axId val="185271040"/>
      </c:scatterChart>
      <c:valAx>
        <c:axId val="18375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271040"/>
        <c:crosses val="autoZero"/>
        <c:crossBetween val="midCat"/>
      </c:valAx>
      <c:valAx>
        <c:axId val="18527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5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'CD0 calculator'!$A$23:$A$29</c:f>
              <c:strCache>
                <c:ptCount val="7"/>
                <c:pt idx="0">
                  <c:v>WING</c:v>
                </c:pt>
                <c:pt idx="1">
                  <c:v>FUSE</c:v>
                </c:pt>
                <c:pt idx="2">
                  <c:v>HT</c:v>
                </c:pt>
                <c:pt idx="3">
                  <c:v>VT</c:v>
                </c:pt>
                <c:pt idx="4">
                  <c:v>FUSE BASE</c:v>
                </c:pt>
                <c:pt idx="5">
                  <c:v>LANDING GEAR</c:v>
                </c:pt>
                <c:pt idx="6">
                  <c:v>28% CRUD</c:v>
                </c:pt>
              </c:strCache>
            </c:strRef>
          </c:cat>
          <c:val>
            <c:numRef>
              <c:f>'CD0 calculator'!$F$23:$F$29</c:f>
              <c:numCache>
                <c:formatCode>0.0000</c:formatCode>
                <c:ptCount val="7"/>
                <c:pt idx="0">
                  <c:v>5.6667496587259501E-3</c:v>
                </c:pt>
                <c:pt idx="1">
                  <c:v>9.3633191268133031E-3</c:v>
                </c:pt>
                <c:pt idx="2">
                  <c:v>1.2804549209107208E-3</c:v>
                </c:pt>
                <c:pt idx="3">
                  <c:v>4.0435418555075401E-4</c:v>
                </c:pt>
                <c:pt idx="4">
                  <c:v>9.1520000000000002E-4</c:v>
                </c:pt>
                <c:pt idx="5">
                  <c:v>1.2500000000000001E-2</c:v>
                </c:pt>
                <c:pt idx="6">
                  <c:v>4.9364218097602041E-3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2-4297-8AA0-8D93EFB8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29</xdr:row>
      <xdr:rowOff>171450</xdr:rowOff>
    </xdr:from>
    <xdr:to>
      <xdr:col>12</xdr:col>
      <xdr:colOff>285750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</xdr:row>
      <xdr:rowOff>66675</xdr:rowOff>
    </xdr:from>
    <xdr:to>
      <xdr:col>8</xdr:col>
      <xdr:colOff>590550</xdr:colOff>
      <xdr:row>4</xdr:row>
      <xdr:rowOff>0</xdr:rowOff>
    </xdr:to>
    <xdr:sp macro="[0]!proces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43550" y="581025"/>
          <a:ext cx="16002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Process Trade</a:t>
          </a:r>
          <a:r>
            <a:rPr lang="en-US" sz="1100" baseline="0"/>
            <a:t>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19</xdr:row>
      <xdr:rowOff>119062</xdr:rowOff>
    </xdr:from>
    <xdr:to>
      <xdr:col>13</xdr:col>
      <xdr:colOff>361950</xdr:colOff>
      <xdr:row>34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34"/>
  <sheetViews>
    <sheetView tabSelected="1" zoomScaleNormal="100" workbookViewId="0">
      <selection activeCell="M19" sqref="M19"/>
    </sheetView>
  </sheetViews>
  <sheetFormatPr defaultRowHeight="15" x14ac:dyDescent="0.25"/>
  <cols>
    <col min="1" max="1" width="28" style="1" bestFit="1" customWidth="1"/>
    <col min="2" max="5" width="10.7109375" style="1" customWidth="1"/>
    <col min="12" max="12" width="20.5703125" customWidth="1"/>
    <col min="17" max="17" width="10.5703125" bestFit="1" customWidth="1"/>
    <col min="20" max="20" width="9.140625" customWidth="1"/>
    <col min="22" max="22" width="9.5703125" bestFit="1" customWidth="1"/>
    <col min="23" max="23" width="10.42578125" customWidth="1"/>
    <col min="24" max="24" width="11" customWidth="1"/>
    <col min="25" max="25" width="10.5703125" bestFit="1" customWidth="1"/>
    <col min="26" max="26" width="11.5703125" bestFit="1" customWidth="1"/>
    <col min="28" max="28" width="10.5703125" bestFit="1" customWidth="1"/>
    <col min="29" max="29" width="10.28515625" bestFit="1" customWidth="1"/>
    <col min="30" max="30" width="11.28515625" bestFit="1" customWidth="1"/>
  </cols>
  <sheetData>
    <row r="1" spans="1:30" s="34" customFormat="1" ht="26.25" x14ac:dyDescent="0.4">
      <c r="A1" s="34" t="s">
        <v>62</v>
      </c>
    </row>
    <row r="2" spans="1:30" x14ac:dyDescent="0.25">
      <c r="A2" s="78"/>
      <c r="B2" s="2" t="s">
        <v>199</v>
      </c>
    </row>
    <row r="4" spans="1:30" x14ac:dyDescent="0.25">
      <c r="B4" s="1" t="s">
        <v>173</v>
      </c>
    </row>
    <row r="5" spans="1:30" x14ac:dyDescent="0.25">
      <c r="A5" s="32" t="s">
        <v>53</v>
      </c>
      <c r="B5" s="32" t="s">
        <v>49</v>
      </c>
      <c r="C5" s="32" t="s">
        <v>50</v>
      </c>
      <c r="J5" t="s">
        <v>103</v>
      </c>
      <c r="L5" t="s">
        <v>104</v>
      </c>
    </row>
    <row r="6" spans="1:30" x14ac:dyDescent="0.25">
      <c r="A6" s="1" t="s">
        <v>54</v>
      </c>
      <c r="B6">
        <v>8.4885999999999999</v>
      </c>
      <c r="C6">
        <v>1.2971999999999999</v>
      </c>
      <c r="E6" s="2"/>
      <c r="F6" s="1"/>
      <c r="G6" t="s">
        <v>94</v>
      </c>
      <c r="J6" s="1">
        <v>20</v>
      </c>
      <c r="K6" t="s">
        <v>34</v>
      </c>
      <c r="L6" s="1">
        <v>20</v>
      </c>
    </row>
    <row r="7" spans="1:30" x14ac:dyDescent="0.25">
      <c r="A7" s="1">
        <v>230</v>
      </c>
      <c r="B7">
        <v>17.124500000000001</v>
      </c>
      <c r="C7">
        <v>1.2618</v>
      </c>
      <c r="G7" t="s">
        <v>95</v>
      </c>
      <c r="J7" s="1">
        <v>45</v>
      </c>
      <c r="K7" t="s">
        <v>34</v>
      </c>
      <c r="L7" s="1">
        <v>37</v>
      </c>
      <c r="O7" s="86" t="s">
        <v>15</v>
      </c>
      <c r="P7" s="86"/>
      <c r="Q7" s="86"/>
      <c r="Y7">
        <v>20</v>
      </c>
    </row>
    <row r="8" spans="1:30" x14ac:dyDescent="0.25">
      <c r="B8">
        <v>25.608000000000001</v>
      </c>
      <c r="C8">
        <v>1.1561999999999999</v>
      </c>
      <c r="G8" t="s">
        <v>96</v>
      </c>
      <c r="I8" s="1"/>
      <c r="J8" s="1">
        <v>12.077213101906073</v>
      </c>
      <c r="K8" t="s">
        <v>81</v>
      </c>
      <c r="L8" s="37"/>
      <c r="O8" s="3" t="s">
        <v>16</v>
      </c>
      <c r="P8" s="3">
        <f>(P12/(P12+3))*0.11*13</f>
        <v>0.95333333333333337</v>
      </c>
      <c r="Q8" s="3"/>
      <c r="S8" s="4" t="s">
        <v>23</v>
      </c>
      <c r="T8" s="4"/>
      <c r="U8" s="4">
        <f>P10/P8/P13</f>
        <v>3.0629370629370625</v>
      </c>
      <c r="V8" s="4" t="s">
        <v>24</v>
      </c>
      <c r="Y8">
        <f>Y7/1.15</f>
        <v>17.39130434782609</v>
      </c>
    </row>
    <row r="9" spans="1:30" x14ac:dyDescent="0.25">
      <c r="B9">
        <v>35.012900000000002</v>
      </c>
      <c r="C9">
        <v>0.9909</v>
      </c>
      <c r="E9" s="1">
        <f>420/230</f>
        <v>1.826086956521739</v>
      </c>
      <c r="G9" s="40" t="s">
        <v>200</v>
      </c>
      <c r="H9" s="40"/>
      <c r="I9" s="1"/>
      <c r="J9" s="1">
        <v>21</v>
      </c>
      <c r="K9" s="40"/>
      <c r="L9" s="85">
        <f>L7-L6</f>
        <v>17</v>
      </c>
      <c r="O9" s="3" t="s">
        <v>14</v>
      </c>
      <c r="P9" s="56">
        <v>2</v>
      </c>
      <c r="Q9" s="3"/>
      <c r="S9" s="4" t="s">
        <v>25</v>
      </c>
      <c r="T9" s="4"/>
      <c r="U9" s="4">
        <f>SQRT(U8/1481)</f>
        <v>4.5476968541774368E-2</v>
      </c>
      <c r="V9" s="4"/>
    </row>
    <row r="10" spans="1:30" x14ac:dyDescent="0.25">
      <c r="B10">
        <v>39.633200000000002</v>
      </c>
      <c r="C10">
        <v>0.9647</v>
      </c>
      <c r="G10" s="40"/>
      <c r="H10" s="40"/>
      <c r="I10" s="1"/>
      <c r="J10" s="1">
        <v>45</v>
      </c>
      <c r="K10" s="40"/>
      <c r="L10" s="84"/>
      <c r="O10" s="3" t="s">
        <v>3</v>
      </c>
      <c r="P10" s="3">
        <v>14.6</v>
      </c>
      <c r="Q10" s="3" t="s">
        <v>9</v>
      </c>
      <c r="S10" s="4" t="s">
        <v>33</v>
      </c>
      <c r="T10" s="4"/>
      <c r="U10" s="4">
        <f>U9*661</f>
        <v>30.060276206112857</v>
      </c>
      <c r="V10" s="4" t="s">
        <v>34</v>
      </c>
    </row>
    <row r="11" spans="1:30" x14ac:dyDescent="0.25">
      <c r="B11">
        <v>44.359299999999998</v>
      </c>
      <c r="C11">
        <v>0.87090000000000001</v>
      </c>
      <c r="G11" t="s">
        <v>97</v>
      </c>
      <c r="I11" s="1"/>
      <c r="J11" s="1">
        <v>28</v>
      </c>
      <c r="K11" t="s">
        <v>34</v>
      </c>
      <c r="L11" s="1">
        <v>28</v>
      </c>
      <c r="O11" s="3" t="s">
        <v>2</v>
      </c>
      <c r="P11" s="54">
        <f>'CD0 calculator'!F30</f>
        <v>3.5066499701760935E-2</v>
      </c>
      <c r="Q11" s="3"/>
      <c r="S11" s="3" t="s">
        <v>29</v>
      </c>
      <c r="T11" s="3"/>
      <c r="U11" s="3">
        <v>0</v>
      </c>
    </row>
    <row r="12" spans="1:30" x14ac:dyDescent="0.25">
      <c r="B12">
        <v>49.3264</v>
      </c>
      <c r="C12">
        <v>0.79720000000000002</v>
      </c>
      <c r="G12" t="s">
        <v>98</v>
      </c>
      <c r="I12" s="1"/>
      <c r="J12" s="1">
        <v>45</v>
      </c>
      <c r="K12" t="s">
        <v>34</v>
      </c>
      <c r="L12" s="1">
        <v>37</v>
      </c>
      <c r="O12" s="3" t="s">
        <v>12</v>
      </c>
      <c r="P12" s="55">
        <f>AR</f>
        <v>6</v>
      </c>
      <c r="Q12" s="3"/>
      <c r="S12" s="3" t="s">
        <v>38</v>
      </c>
      <c r="T12" s="3"/>
      <c r="U12" s="3">
        <v>0.05</v>
      </c>
    </row>
    <row r="13" spans="1:30" x14ac:dyDescent="0.25">
      <c r="B13">
        <v>54.162799999999997</v>
      </c>
      <c r="C13">
        <v>0.70399999999999996</v>
      </c>
      <c r="G13" t="s">
        <v>99</v>
      </c>
      <c r="I13" s="1"/>
      <c r="J13" s="1">
        <v>168.40262307514902</v>
      </c>
      <c r="K13" t="s">
        <v>81</v>
      </c>
      <c r="L13" s="38"/>
      <c r="O13" s="3" t="s">
        <v>7</v>
      </c>
      <c r="P13" s="55">
        <f>Sref</f>
        <v>5</v>
      </c>
      <c r="Q13" s="3" t="s">
        <v>8</v>
      </c>
      <c r="S13" s="35" t="s">
        <v>80</v>
      </c>
      <c r="U13">
        <f>SQRT(P13*P12)</f>
        <v>5.4772255750516612</v>
      </c>
      <c r="V13" t="s">
        <v>81</v>
      </c>
      <c r="X13" t="s">
        <v>82</v>
      </c>
    </row>
    <row r="14" spans="1:30" x14ac:dyDescent="0.25">
      <c r="B14">
        <v>59.412700000000001</v>
      </c>
      <c r="C14">
        <v>0.61890000000000001</v>
      </c>
      <c r="G14" s="40" t="s">
        <v>200</v>
      </c>
      <c r="H14" s="40"/>
      <c r="I14" s="1"/>
      <c r="J14" s="1">
        <v>37.710645436067395</v>
      </c>
      <c r="K14" s="40"/>
      <c r="L14" s="85">
        <f>L12-L11</f>
        <v>9</v>
      </c>
      <c r="O14" s="33" t="s">
        <v>55</v>
      </c>
      <c r="P14" s="56">
        <v>15</v>
      </c>
      <c r="Q14" s="3" t="s">
        <v>56</v>
      </c>
    </row>
    <row r="15" spans="1:30" ht="45" x14ac:dyDescent="0.25">
      <c r="G15" s="40"/>
      <c r="H15" s="40"/>
      <c r="I15" s="1"/>
      <c r="J15" s="1"/>
      <c r="K15" s="40"/>
      <c r="L15" s="85"/>
      <c r="O15" s="5" t="s">
        <v>1</v>
      </c>
      <c r="P15" s="5" t="s">
        <v>4</v>
      </c>
      <c r="Q15" s="5" t="s">
        <v>5</v>
      </c>
      <c r="R15" s="5" t="s">
        <v>6</v>
      </c>
      <c r="S15" s="5" t="s">
        <v>10</v>
      </c>
      <c r="T15" s="5" t="s">
        <v>11</v>
      </c>
      <c r="U15" s="5" t="s">
        <v>32</v>
      </c>
      <c r="V15" s="5" t="s">
        <v>148</v>
      </c>
      <c r="W15" s="5" t="s">
        <v>17</v>
      </c>
      <c r="X15" s="5" t="s">
        <v>18</v>
      </c>
      <c r="Y15" s="5" t="s">
        <v>19</v>
      </c>
      <c r="Z15" s="5" t="s">
        <v>31</v>
      </c>
      <c r="AA15" s="5" t="s">
        <v>35</v>
      </c>
      <c r="AB15" s="5" t="s">
        <v>37</v>
      </c>
      <c r="AC15" s="5" t="s">
        <v>149</v>
      </c>
      <c r="AD15" s="5" t="s">
        <v>36</v>
      </c>
    </row>
    <row r="16" spans="1:30" x14ac:dyDescent="0.25">
      <c r="G16" t="s">
        <v>101</v>
      </c>
      <c r="I16" s="1"/>
      <c r="J16" s="1">
        <v>31</v>
      </c>
      <c r="K16" t="s">
        <v>34</v>
      </c>
      <c r="L16" s="1">
        <v>31</v>
      </c>
      <c r="O16" s="6">
        <v>10</v>
      </c>
      <c r="P16" s="7">
        <f>O16/661</f>
        <v>1.5128593040847202E-2</v>
      </c>
      <c r="Q16" s="8">
        <f>1481*P16^2</f>
        <v>0.33896287887283971</v>
      </c>
      <c r="R16" s="9" t="str">
        <f>IF(W16&lt;1,"",$P$10/Q16/$P$13)</f>
        <v/>
      </c>
      <c r="S16" s="9" t="str">
        <f>IF(W16&lt;1,"",R16^2/(PI()*$P$12)+$P$11)</f>
        <v/>
      </c>
      <c r="T16" s="8" t="str">
        <f>IF(S16="","",Q16*S16*$P$13)</f>
        <v/>
      </c>
      <c r="U16" s="8">
        <f t="shared" ref="U16:U47" si="0">$P$9*($G$34*O16^2+$G$35*O16+$G$36)</f>
        <v>2.6073999999999997</v>
      </c>
      <c r="V16" s="6" t="str">
        <f>IF(S16="","",(U16-T16)/$P$10)</f>
        <v/>
      </c>
      <c r="W16" s="10">
        <f>P16/$U$9</f>
        <v>0.33266494064903057</v>
      </c>
      <c r="X16" s="8" t="str">
        <f>IF(W16&lt;1,"",R16/S16)</f>
        <v/>
      </c>
      <c r="Y16" s="9" t="str">
        <f>IF(W16&lt;1,"",X16*P16)</f>
        <v/>
      </c>
      <c r="Z16" s="11">
        <f>O16-$U$10</f>
        <v>-20.060276206112857</v>
      </c>
      <c r="AA16" s="6" t="str">
        <f>IF(W16&lt;1,"",V16*O16/60*6080)</f>
        <v/>
      </c>
      <c r="AB16" s="8" t="str">
        <f t="shared" ref="AB16:AB68" si="1">IF(W16&lt;1,"",W16^2)</f>
        <v/>
      </c>
      <c r="AC16" s="9" t="str">
        <f t="shared" ref="AC16:AC68" si="2">IF(W16&lt;1,"",(U16-(Q16*$P$13*($P$11+$P$8^2/(PI()*$P$12))))/$P$10)</f>
        <v/>
      </c>
      <c r="AD16" s="11" t="str">
        <f t="shared" ref="AD16:AD68" si="3">IF(W16&lt;1,"",AC16*O16*6080/60)</f>
        <v/>
      </c>
    </row>
    <row r="17" spans="1:30" x14ac:dyDescent="0.25">
      <c r="G17" t="s">
        <v>102</v>
      </c>
      <c r="I17" s="1"/>
      <c r="J17" s="1">
        <v>45</v>
      </c>
      <c r="K17" t="s">
        <v>34</v>
      </c>
      <c r="L17" s="1">
        <v>37</v>
      </c>
      <c r="O17" s="6">
        <v>20</v>
      </c>
      <c r="P17" s="7">
        <f>O17/661</f>
        <v>3.0257186081694403E-2</v>
      </c>
      <c r="Q17" s="8">
        <f>1481*P17^2</f>
        <v>1.3558515154913588</v>
      </c>
      <c r="R17" s="9" t="str">
        <f t="shared" ref="R17:R68" si="4">IF(W17&lt;1,"",$P$10/Q17/$P$13)</f>
        <v/>
      </c>
      <c r="S17" s="9" t="str">
        <f t="shared" ref="S17:S68" si="5">IF(W17&lt;1,"",R17^2/(PI()*$P$12)+$P$11)</f>
        <v/>
      </c>
      <c r="T17" s="8" t="str">
        <f t="shared" ref="T17:T68" si="6">IF(S17="","",Q17*S17*$P$13)</f>
        <v/>
      </c>
      <c r="U17" s="8">
        <f t="shared" si="0"/>
        <v>2.4234</v>
      </c>
      <c r="V17" s="8" t="str">
        <f t="shared" ref="V17:V68" si="7">IF(S17="","",(U17-T17)/$P$10)</f>
        <v/>
      </c>
      <c r="W17" s="10">
        <f t="shared" ref="W17:W68" si="8">P17/$U$9</f>
        <v>0.66532988129806114</v>
      </c>
      <c r="X17" s="8" t="str">
        <f t="shared" ref="X17:X68" si="9">IF(W17&lt;1,"",R17/S17)</f>
        <v/>
      </c>
      <c r="Y17" s="9" t="str">
        <f t="shared" ref="Y17:Y68" si="10">IF(W17&lt;1,"",X17*P17)</f>
        <v/>
      </c>
      <c r="Z17" s="11">
        <f t="shared" ref="Z17:Z68" si="11">O17-$U$10</f>
        <v>-10.060276206112857</v>
      </c>
      <c r="AA17" s="6" t="str">
        <f t="shared" ref="AA17:AA68" si="12">IF(W17&lt;1,"",V17*O17/60*6080)</f>
        <v/>
      </c>
      <c r="AB17" s="8" t="str">
        <f t="shared" si="1"/>
        <v/>
      </c>
      <c r="AC17" s="9" t="str">
        <f t="shared" si="2"/>
        <v/>
      </c>
      <c r="AD17" s="11" t="str">
        <f t="shared" si="3"/>
        <v/>
      </c>
    </row>
    <row r="18" spans="1:30" x14ac:dyDescent="0.25">
      <c r="A18" s="1" t="s">
        <v>42</v>
      </c>
      <c r="B18" s="1">
        <v>0.05</v>
      </c>
      <c r="C18" s="1" t="s">
        <v>57</v>
      </c>
      <c r="G18" t="s">
        <v>100</v>
      </c>
      <c r="I18" s="1"/>
      <c r="J18" s="1">
        <v>333.01296698600487</v>
      </c>
      <c r="K18" t="s">
        <v>81</v>
      </c>
      <c r="L18" s="38"/>
      <c r="O18" s="6">
        <f>O17+1</f>
        <v>21</v>
      </c>
      <c r="P18" s="7">
        <f t="shared" ref="P18:P68" si="13">O18/661</f>
        <v>3.1770045385779121E-2</v>
      </c>
      <c r="Q18" s="8">
        <f t="shared" ref="Q18:Q68" si="14">1481*P18^2</f>
        <v>1.4948262958292231</v>
      </c>
      <c r="R18" s="9" t="str">
        <f t="shared" si="4"/>
        <v/>
      </c>
      <c r="S18" s="9" t="str">
        <f t="shared" si="5"/>
        <v/>
      </c>
      <c r="T18" s="8" t="str">
        <f t="shared" si="6"/>
        <v/>
      </c>
      <c r="U18" s="8">
        <f t="shared" si="0"/>
        <v>2.4028</v>
      </c>
      <c r="V18" s="8" t="str">
        <f t="shared" si="7"/>
        <v/>
      </c>
      <c r="W18" s="10">
        <f t="shared" si="8"/>
        <v>0.69859637536296415</v>
      </c>
      <c r="X18" s="8" t="str">
        <f t="shared" si="9"/>
        <v/>
      </c>
      <c r="Y18" s="9" t="str">
        <f t="shared" si="10"/>
        <v/>
      </c>
      <c r="Z18" s="11">
        <f t="shared" si="11"/>
        <v>-9.0602762061128566</v>
      </c>
      <c r="AA18" s="6" t="str">
        <f t="shared" si="12"/>
        <v/>
      </c>
      <c r="AB18" s="8" t="str">
        <f t="shared" si="1"/>
        <v/>
      </c>
      <c r="AC18" s="9" t="str">
        <f t="shared" si="2"/>
        <v/>
      </c>
      <c r="AD18" s="11" t="str">
        <f t="shared" si="3"/>
        <v/>
      </c>
    </row>
    <row r="19" spans="1:30" x14ac:dyDescent="0.25">
      <c r="A19" s="1" t="s">
        <v>44</v>
      </c>
      <c r="B19" s="52">
        <v>72</v>
      </c>
      <c r="C19" s="1" t="s">
        <v>46</v>
      </c>
      <c r="G19" t="s">
        <v>200</v>
      </c>
      <c r="I19" s="1"/>
      <c r="J19" s="1"/>
      <c r="L19" s="36">
        <f>L17-L16</f>
        <v>6</v>
      </c>
      <c r="O19" s="6">
        <f t="shared" ref="O19:O68" si="15">O18+1</f>
        <v>22</v>
      </c>
      <c r="P19" s="7">
        <f t="shared" si="13"/>
        <v>3.3282904689863842E-2</v>
      </c>
      <c r="Q19" s="8">
        <f t="shared" si="14"/>
        <v>1.6405803337445439</v>
      </c>
      <c r="R19" s="9" t="str">
        <f t="shared" si="4"/>
        <v/>
      </c>
      <c r="S19" s="9" t="str">
        <f t="shared" si="5"/>
        <v/>
      </c>
      <c r="T19" s="8" t="str">
        <f t="shared" si="6"/>
        <v/>
      </c>
      <c r="U19" s="8">
        <f t="shared" si="0"/>
        <v>2.3817999999999997</v>
      </c>
      <c r="V19" s="8" t="str">
        <f t="shared" si="7"/>
        <v/>
      </c>
      <c r="W19" s="10">
        <f t="shared" si="8"/>
        <v>0.73186286942786727</v>
      </c>
      <c r="X19" s="8" t="str">
        <f t="shared" si="9"/>
        <v/>
      </c>
      <c r="Y19" s="9" t="str">
        <f t="shared" si="10"/>
        <v/>
      </c>
      <c r="Z19" s="11">
        <f t="shared" si="11"/>
        <v>-8.0602762061128566</v>
      </c>
      <c r="AA19" s="6" t="str">
        <f t="shared" si="12"/>
        <v/>
      </c>
      <c r="AB19" s="8" t="str">
        <f t="shared" si="1"/>
        <v/>
      </c>
      <c r="AC19" s="9" t="str">
        <f t="shared" si="2"/>
        <v/>
      </c>
      <c r="AD19" s="11" t="str">
        <f t="shared" si="3"/>
        <v/>
      </c>
    </row>
    <row r="20" spans="1:30" x14ac:dyDescent="0.25">
      <c r="A20" s="1" t="s">
        <v>45</v>
      </c>
      <c r="B20" s="1">
        <v>19.2</v>
      </c>
      <c r="C20" s="1" t="s">
        <v>47</v>
      </c>
      <c r="G20" s="40"/>
      <c r="H20" s="40"/>
      <c r="I20" s="1"/>
      <c r="J20" s="1"/>
      <c r="K20" s="40"/>
      <c r="L20" s="40"/>
      <c r="O20" s="6">
        <f t="shared" si="15"/>
        <v>23</v>
      </c>
      <c r="P20" s="7">
        <f t="shared" si="13"/>
        <v>3.4795763993948563E-2</v>
      </c>
      <c r="Q20" s="8">
        <f t="shared" si="14"/>
        <v>1.7931136292373222</v>
      </c>
      <c r="R20" s="9" t="str">
        <f t="shared" si="4"/>
        <v/>
      </c>
      <c r="S20" s="9" t="str">
        <f t="shared" si="5"/>
        <v/>
      </c>
      <c r="T20" s="8" t="str">
        <f t="shared" si="6"/>
        <v/>
      </c>
      <c r="U20" s="8">
        <f t="shared" si="0"/>
        <v>2.3603999999999998</v>
      </c>
      <c r="V20" s="8" t="str">
        <f t="shared" si="7"/>
        <v/>
      </c>
      <c r="W20" s="10">
        <f t="shared" si="8"/>
        <v>0.76512936349277039</v>
      </c>
      <c r="X20" s="8" t="str">
        <f t="shared" si="9"/>
        <v/>
      </c>
      <c r="Y20" s="9" t="str">
        <f t="shared" si="10"/>
        <v/>
      </c>
      <c r="Z20" s="11">
        <f t="shared" si="11"/>
        <v>-7.0602762061128566</v>
      </c>
      <c r="AA20" s="6" t="str">
        <f t="shared" si="12"/>
        <v/>
      </c>
      <c r="AB20" s="8" t="str">
        <f t="shared" si="1"/>
        <v/>
      </c>
      <c r="AC20" s="9" t="str">
        <f t="shared" si="2"/>
        <v/>
      </c>
      <c r="AD20" s="11" t="str">
        <f t="shared" si="3"/>
        <v/>
      </c>
    </row>
    <row r="21" spans="1:30" x14ac:dyDescent="0.25">
      <c r="A21" s="1" t="s">
        <v>43</v>
      </c>
      <c r="B21" s="1">
        <f>B19*B18</f>
        <v>3.6</v>
      </c>
      <c r="C21" s="1" t="s">
        <v>58</v>
      </c>
      <c r="G21" s="40"/>
      <c r="H21" s="40"/>
      <c r="I21" s="1"/>
      <c r="J21" s="1"/>
      <c r="K21" s="40"/>
      <c r="L21" s="40"/>
      <c r="O21" s="6">
        <f t="shared" si="15"/>
        <v>24</v>
      </c>
      <c r="P21" s="7">
        <f t="shared" si="13"/>
        <v>3.6308623298033284E-2</v>
      </c>
      <c r="Q21" s="8">
        <f t="shared" si="14"/>
        <v>1.9524261823075566</v>
      </c>
      <c r="R21" s="9" t="str">
        <f t="shared" si="4"/>
        <v/>
      </c>
      <c r="S21" s="9" t="str">
        <f t="shared" si="5"/>
        <v/>
      </c>
      <c r="T21" s="8" t="str">
        <f t="shared" si="6"/>
        <v/>
      </c>
      <c r="U21" s="8">
        <f t="shared" si="0"/>
        <v>2.3386</v>
      </c>
      <c r="V21" s="8" t="str">
        <f t="shared" si="7"/>
        <v/>
      </c>
      <c r="W21" s="10">
        <f t="shared" si="8"/>
        <v>0.79839585755767339</v>
      </c>
      <c r="X21" s="8" t="str">
        <f t="shared" si="9"/>
        <v/>
      </c>
      <c r="Y21" s="9" t="str">
        <f t="shared" si="10"/>
        <v/>
      </c>
      <c r="Z21" s="11">
        <f t="shared" si="11"/>
        <v>-6.0602762061128566</v>
      </c>
      <c r="AA21" s="11" t="str">
        <f t="shared" si="12"/>
        <v/>
      </c>
      <c r="AB21" s="8" t="str">
        <f t="shared" si="1"/>
        <v/>
      </c>
      <c r="AC21" s="9" t="str">
        <f t="shared" si="2"/>
        <v/>
      </c>
      <c r="AD21" s="11" t="str">
        <f t="shared" si="3"/>
        <v/>
      </c>
    </row>
    <row r="22" spans="1:30" x14ac:dyDescent="0.25">
      <c r="A22" s="1" t="s">
        <v>60</v>
      </c>
      <c r="B22" s="1">
        <f>B19*B20</f>
        <v>1382.3999999999999</v>
      </c>
      <c r="C22" s="1" t="s">
        <v>48</v>
      </c>
      <c r="G22" t="s">
        <v>147</v>
      </c>
      <c r="I22" s="1"/>
      <c r="J22" s="1"/>
      <c r="L22">
        <f>IF(B24&lt;B23,IF(MISSION1_WARNING="",IF(MISSION2_WARNING="",IF(MISSION3_WARNING="",1,0.1),0.1),0.1),0.1)*IF(M1_TURN_MARGIN&gt;10,1,M1_TURN_MARGIN/10)*IF(m2_turn_margin&gt;10,1,m2_turn_margin/10)*IF(m3_turn_margin&gt;10,1,m3_turn_margin/10)</f>
        <v>0.54</v>
      </c>
      <c r="O22" s="6">
        <f t="shared" si="15"/>
        <v>25</v>
      </c>
      <c r="P22" s="7">
        <f t="shared" si="13"/>
        <v>3.7821482602118005E-2</v>
      </c>
      <c r="Q22" s="8">
        <f t="shared" si="14"/>
        <v>2.1185179929552485</v>
      </c>
      <c r="R22" s="9" t="str">
        <f t="shared" si="4"/>
        <v/>
      </c>
      <c r="S22" s="9" t="str">
        <f t="shared" si="5"/>
        <v/>
      </c>
      <c r="T22" s="8" t="str">
        <f t="shared" si="6"/>
        <v/>
      </c>
      <c r="U22" s="8">
        <f t="shared" si="0"/>
        <v>2.3163999999999998</v>
      </c>
      <c r="V22" s="8" t="str">
        <f t="shared" si="7"/>
        <v/>
      </c>
      <c r="W22" s="10">
        <f t="shared" si="8"/>
        <v>0.83166235162257651</v>
      </c>
      <c r="X22" s="8" t="str">
        <f t="shared" si="9"/>
        <v/>
      </c>
      <c r="Y22" s="9" t="str">
        <f t="shared" si="10"/>
        <v/>
      </c>
      <c r="Z22" s="11">
        <f t="shared" si="11"/>
        <v>-5.0602762061128566</v>
      </c>
      <c r="AA22" s="11" t="str">
        <f t="shared" si="12"/>
        <v/>
      </c>
      <c r="AB22" s="8" t="str">
        <f t="shared" si="1"/>
        <v/>
      </c>
      <c r="AC22" s="9" t="str">
        <f t="shared" si="2"/>
        <v/>
      </c>
      <c r="AD22" s="11" t="str">
        <f t="shared" si="3"/>
        <v/>
      </c>
    </row>
    <row r="23" spans="1:30" x14ac:dyDescent="0.25">
      <c r="A23" s="1" t="s">
        <v>59</v>
      </c>
      <c r="B23" s="1">
        <f>B22/3</f>
        <v>460.79999999999995</v>
      </c>
      <c r="C23" s="1" t="s">
        <v>48</v>
      </c>
      <c r="G23" t="s">
        <v>146</v>
      </c>
      <c r="I23" s="1"/>
      <c r="J23" s="36">
        <f ca="1">NENG+HEADWIND+RAND()</f>
        <v>17.970107355906368</v>
      </c>
      <c r="O23" s="6">
        <f t="shared" si="15"/>
        <v>26</v>
      </c>
      <c r="P23" s="7">
        <f t="shared" si="13"/>
        <v>3.9334341906202726E-2</v>
      </c>
      <c r="Q23" s="8">
        <f t="shared" si="14"/>
        <v>2.2913890611803964</v>
      </c>
      <c r="R23" s="9" t="str">
        <f t="shared" si="4"/>
        <v/>
      </c>
      <c r="S23" s="9" t="str">
        <f t="shared" si="5"/>
        <v/>
      </c>
      <c r="T23" s="8" t="str">
        <f t="shared" si="6"/>
        <v/>
      </c>
      <c r="U23" s="8">
        <f t="shared" si="0"/>
        <v>2.2938000000000001</v>
      </c>
      <c r="V23" s="8" t="str">
        <f t="shared" si="7"/>
        <v/>
      </c>
      <c r="W23" s="10">
        <f t="shared" si="8"/>
        <v>0.86492884568747963</v>
      </c>
      <c r="X23" s="8" t="str">
        <f t="shared" si="9"/>
        <v/>
      </c>
      <c r="Y23" s="9" t="str">
        <f t="shared" si="10"/>
        <v/>
      </c>
      <c r="Z23" s="11">
        <f t="shared" si="11"/>
        <v>-4.0602762061128566</v>
      </c>
      <c r="AA23" s="11" t="str">
        <f t="shared" si="12"/>
        <v/>
      </c>
      <c r="AB23" s="8" t="str">
        <f t="shared" si="1"/>
        <v/>
      </c>
      <c r="AC23" s="9" t="str">
        <f t="shared" si="2"/>
        <v/>
      </c>
      <c r="AD23" s="11" t="str">
        <f t="shared" si="3"/>
        <v/>
      </c>
    </row>
    <row r="24" spans="1:30" x14ac:dyDescent="0.25">
      <c r="A24" s="1" t="s">
        <v>61</v>
      </c>
      <c r="B24" s="1">
        <f>A7*2</f>
        <v>460</v>
      </c>
      <c r="C24" s="1" t="s">
        <v>48</v>
      </c>
      <c r="I24" s="1"/>
      <c r="J24" s="1"/>
      <c r="O24" s="6">
        <f t="shared" si="15"/>
        <v>27</v>
      </c>
      <c r="P24" s="7">
        <f t="shared" si="13"/>
        <v>4.084720121028744E-2</v>
      </c>
      <c r="Q24" s="8">
        <f t="shared" si="14"/>
        <v>2.471039386983001</v>
      </c>
      <c r="R24" s="9" t="str">
        <f t="shared" si="4"/>
        <v/>
      </c>
      <c r="S24" s="9" t="str">
        <f t="shared" si="5"/>
        <v/>
      </c>
      <c r="T24" s="8" t="str">
        <f t="shared" si="6"/>
        <v/>
      </c>
      <c r="U24" s="8">
        <f t="shared" si="0"/>
        <v>2.2707999999999999</v>
      </c>
      <c r="V24" s="8" t="str">
        <f t="shared" si="7"/>
        <v/>
      </c>
      <c r="W24" s="10">
        <f t="shared" si="8"/>
        <v>0.89819533975238253</v>
      </c>
      <c r="X24" s="8" t="str">
        <f t="shared" si="9"/>
        <v/>
      </c>
      <c r="Y24" s="9" t="str">
        <f t="shared" si="10"/>
        <v/>
      </c>
      <c r="Z24" s="11">
        <f t="shared" si="11"/>
        <v>-3.0602762061128566</v>
      </c>
      <c r="AA24" s="11" t="str">
        <f t="shared" si="12"/>
        <v/>
      </c>
      <c r="AB24" s="8" t="str">
        <f t="shared" si="1"/>
        <v/>
      </c>
      <c r="AC24" s="9" t="str">
        <f t="shared" si="2"/>
        <v/>
      </c>
      <c r="AD24" s="11" t="str">
        <f t="shared" si="3"/>
        <v/>
      </c>
    </row>
    <row r="25" spans="1:30" x14ac:dyDescent="0.25">
      <c r="I25" s="1"/>
      <c r="J25" s="1"/>
      <c r="O25" s="6">
        <f t="shared" si="15"/>
        <v>28</v>
      </c>
      <c r="P25" s="7">
        <f t="shared" si="13"/>
        <v>4.2360060514372161E-2</v>
      </c>
      <c r="Q25" s="8">
        <f t="shared" si="14"/>
        <v>2.657468970363063</v>
      </c>
      <c r="R25" s="9" t="str">
        <f t="shared" si="4"/>
        <v/>
      </c>
      <c r="S25" s="9" t="str">
        <f t="shared" si="5"/>
        <v/>
      </c>
      <c r="T25" s="8" t="str">
        <f t="shared" si="6"/>
        <v/>
      </c>
      <c r="U25" s="8">
        <f t="shared" si="0"/>
        <v>2.2473999999999998</v>
      </c>
      <c r="V25" s="8" t="str">
        <f t="shared" si="7"/>
        <v/>
      </c>
      <c r="W25" s="10">
        <f t="shared" si="8"/>
        <v>0.93146183381728564</v>
      </c>
      <c r="X25" s="8" t="str">
        <f t="shared" si="9"/>
        <v/>
      </c>
      <c r="Y25" s="9" t="str">
        <f t="shared" si="10"/>
        <v/>
      </c>
      <c r="Z25" s="11">
        <f t="shared" si="11"/>
        <v>-2.0602762061128566</v>
      </c>
      <c r="AA25" s="11" t="str">
        <f>IF(W25&lt;1,"",V25*O25/60*6080)</f>
        <v/>
      </c>
      <c r="AB25" s="8" t="str">
        <f t="shared" si="1"/>
        <v/>
      </c>
      <c r="AC25" s="9" t="str">
        <f t="shared" si="2"/>
        <v/>
      </c>
      <c r="AD25" s="11" t="str">
        <f t="shared" si="3"/>
        <v/>
      </c>
    </row>
    <row r="26" spans="1:30" x14ac:dyDescent="0.25">
      <c r="I26" s="1"/>
      <c r="J26" s="1"/>
      <c r="O26" s="6">
        <f t="shared" si="15"/>
        <v>29</v>
      </c>
      <c r="P26" s="7">
        <f t="shared" si="13"/>
        <v>4.3872919818456882E-2</v>
      </c>
      <c r="Q26" s="8">
        <f t="shared" si="14"/>
        <v>2.850677811320582</v>
      </c>
      <c r="R26" s="9" t="str">
        <f t="shared" si="4"/>
        <v/>
      </c>
      <c r="S26" s="9" t="str">
        <f t="shared" si="5"/>
        <v/>
      </c>
      <c r="T26" s="8" t="str">
        <f t="shared" si="6"/>
        <v/>
      </c>
      <c r="U26" s="8">
        <f t="shared" si="0"/>
        <v>2.2235999999999998</v>
      </c>
      <c r="V26" s="8" t="str">
        <f t="shared" si="7"/>
        <v/>
      </c>
      <c r="W26" s="10">
        <f t="shared" si="8"/>
        <v>0.96472832788218865</v>
      </c>
      <c r="X26" s="8" t="str">
        <f t="shared" si="9"/>
        <v/>
      </c>
      <c r="Y26" s="9" t="str">
        <f t="shared" si="10"/>
        <v/>
      </c>
      <c r="Z26" s="11">
        <f t="shared" si="11"/>
        <v>-1.0602762061128566</v>
      </c>
      <c r="AA26" s="11" t="str">
        <f t="shared" si="12"/>
        <v/>
      </c>
      <c r="AB26" s="8" t="str">
        <f t="shared" si="1"/>
        <v/>
      </c>
      <c r="AC26" s="9" t="str">
        <f t="shared" si="2"/>
        <v/>
      </c>
      <c r="AD26" s="11" t="str">
        <f t="shared" si="3"/>
        <v/>
      </c>
    </row>
    <row r="27" spans="1:30" ht="15.75" thickBot="1" x14ac:dyDescent="0.3">
      <c r="I27" s="1"/>
      <c r="J27" s="1"/>
      <c r="O27" s="6">
        <f t="shared" si="15"/>
        <v>30</v>
      </c>
      <c r="P27" s="7">
        <f t="shared" si="13"/>
        <v>4.5385779122541603E-2</v>
      </c>
      <c r="Q27" s="8">
        <f t="shared" si="14"/>
        <v>3.0506659098555571</v>
      </c>
      <c r="R27" s="9" t="str">
        <f t="shared" si="4"/>
        <v/>
      </c>
      <c r="S27" s="9" t="str">
        <f t="shared" si="5"/>
        <v/>
      </c>
      <c r="T27" s="8" t="str">
        <f t="shared" si="6"/>
        <v/>
      </c>
      <c r="U27" s="8">
        <f t="shared" si="0"/>
        <v>2.1993999999999998</v>
      </c>
      <c r="V27" s="8" t="str">
        <f t="shared" si="7"/>
        <v/>
      </c>
      <c r="W27" s="10">
        <f t="shared" si="8"/>
        <v>0.99799482194709177</v>
      </c>
      <c r="X27" s="8" t="str">
        <f t="shared" si="9"/>
        <v/>
      </c>
      <c r="Y27" s="9" t="str">
        <f t="shared" si="10"/>
        <v/>
      </c>
      <c r="Z27" s="11">
        <f t="shared" si="11"/>
        <v>-6.0276206112856556E-2</v>
      </c>
      <c r="AA27" s="11" t="str">
        <f t="shared" si="12"/>
        <v/>
      </c>
      <c r="AB27" s="8" t="str">
        <f t="shared" si="1"/>
        <v/>
      </c>
      <c r="AC27" s="9" t="str">
        <f t="shared" si="2"/>
        <v/>
      </c>
      <c r="AD27" s="11" t="str">
        <f t="shared" si="3"/>
        <v/>
      </c>
    </row>
    <row r="28" spans="1:30" ht="16.5" thickTop="1" thickBot="1" x14ac:dyDescent="0.3">
      <c r="A28" s="1" t="s">
        <v>63</v>
      </c>
      <c r="F28" s="30" t="s">
        <v>39</v>
      </c>
      <c r="I28" s="1"/>
      <c r="J28" s="1"/>
      <c r="O28" s="6">
        <f t="shared" si="15"/>
        <v>31</v>
      </c>
      <c r="P28" s="7">
        <f t="shared" si="13"/>
        <v>4.6898638426626324E-2</v>
      </c>
      <c r="Q28" s="8">
        <f t="shared" si="14"/>
        <v>3.2574332659679892</v>
      </c>
      <c r="R28" s="9">
        <f t="shared" si="4"/>
        <v>0.89641130349673737</v>
      </c>
      <c r="S28" s="9">
        <f t="shared" si="5"/>
        <v>7.7696322302436976E-2</v>
      </c>
      <c r="T28" s="8">
        <f t="shared" si="6"/>
        <v>1.2654529245566439</v>
      </c>
      <c r="U28" s="8">
        <f t="shared" si="0"/>
        <v>2.1747999999999998</v>
      </c>
      <c r="V28" s="8">
        <f t="shared" si="7"/>
        <v>6.2284046263243555E-2</v>
      </c>
      <c r="W28" s="10">
        <f t="shared" si="8"/>
        <v>1.0312613160119948</v>
      </c>
      <c r="X28" s="8">
        <f t="shared" si="9"/>
        <v>11.537371099849613</v>
      </c>
      <c r="Y28" s="9">
        <f t="shared" si="10"/>
        <v>0.5410869956056551</v>
      </c>
      <c r="Z28" s="11">
        <f t="shared" si="11"/>
        <v>0.93972379388714344</v>
      </c>
      <c r="AA28" s="11">
        <f t="shared" si="12"/>
        <v>195.65495066160244</v>
      </c>
      <c r="AB28" s="8">
        <f t="shared" si="1"/>
        <v>1.0634999019027913</v>
      </c>
      <c r="AC28" s="9">
        <f t="shared" si="2"/>
        <v>5.6052673838723616E-2</v>
      </c>
      <c r="AD28" s="11">
        <f t="shared" si="3"/>
        <v>176.0801327520438</v>
      </c>
    </row>
    <row r="29" spans="1:30" ht="16.5" thickTop="1" thickBot="1" x14ac:dyDescent="0.3">
      <c r="A29" s="1" t="s">
        <v>105</v>
      </c>
      <c r="B29" s="53">
        <v>2.5</v>
      </c>
      <c r="C29" s="1" t="s">
        <v>64</v>
      </c>
      <c r="F29" s="30" t="s">
        <v>40</v>
      </c>
      <c r="I29" s="1"/>
      <c r="J29" s="1"/>
      <c r="O29" s="6">
        <f t="shared" si="15"/>
        <v>32</v>
      </c>
      <c r="P29" s="7">
        <f t="shared" si="13"/>
        <v>4.8411497730711045E-2</v>
      </c>
      <c r="Q29" s="8">
        <f t="shared" si="14"/>
        <v>3.4709798796578788</v>
      </c>
      <c r="R29" s="9">
        <f t="shared" si="4"/>
        <v>0.8412609986917623</v>
      </c>
      <c r="S29" s="9">
        <f t="shared" si="5"/>
        <v>7.2612215413353554E-2</v>
      </c>
      <c r="T29" s="8">
        <f t="shared" si="6"/>
        <v>1.2601776935856694</v>
      </c>
      <c r="U29" s="8">
        <f t="shared" si="0"/>
        <v>2.1497999999999999</v>
      </c>
      <c r="V29" s="8">
        <f t="shared" si="7"/>
        <v>6.0933034685913046E-2</v>
      </c>
      <c r="W29" s="10">
        <f t="shared" si="8"/>
        <v>1.064527810076898</v>
      </c>
      <c r="X29" s="8">
        <f t="shared" si="9"/>
        <v>11.585667699336611</v>
      </c>
      <c r="Y29" s="9">
        <f t="shared" si="10"/>
        <v>0.56087952553520659</v>
      </c>
      <c r="Z29" s="11">
        <f t="shared" si="11"/>
        <v>1.9397237938871434</v>
      </c>
      <c r="AA29" s="11">
        <f t="shared" si="12"/>
        <v>197.58552047485406</v>
      </c>
      <c r="AB29" s="8">
        <f t="shared" si="1"/>
        <v>1.1332194584271162</v>
      </c>
      <c r="AC29" s="9">
        <f t="shared" si="2"/>
        <v>4.8249718113156488E-2</v>
      </c>
      <c r="AD29" s="11">
        <f t="shared" si="3"/>
        <v>156.45775260159544</v>
      </c>
    </row>
    <row r="30" spans="1:30" ht="16.5" thickTop="1" thickBot="1" x14ac:dyDescent="0.3">
      <c r="A30" s="1" t="s">
        <v>43</v>
      </c>
      <c r="B30" s="1">
        <f>B21</f>
        <v>3.6</v>
      </c>
      <c r="C30" s="1" t="s">
        <v>64</v>
      </c>
      <c r="F30" s="30" t="s">
        <v>41</v>
      </c>
      <c r="I30" s="1"/>
      <c r="J30" s="1"/>
      <c r="O30" s="6">
        <f t="shared" si="15"/>
        <v>33</v>
      </c>
      <c r="P30" s="7">
        <f t="shared" si="13"/>
        <v>4.9924357034795766E-2</v>
      </c>
      <c r="Q30" s="8">
        <f t="shared" si="14"/>
        <v>3.6913057509252245</v>
      </c>
      <c r="R30" s="9">
        <f t="shared" si="4"/>
        <v>0.79104799142365889</v>
      </c>
      <c r="S30" s="9">
        <f t="shared" si="5"/>
        <v>6.8263935616968557E-2</v>
      </c>
      <c r="T30" s="8">
        <f>IF(S30="","",Q30*S30*$P$13)</f>
        <v>1.2599152906185265</v>
      </c>
      <c r="U30" s="8">
        <f t="shared" si="0"/>
        <v>2.1243999999999996</v>
      </c>
      <c r="V30" s="8">
        <f t="shared" si="7"/>
        <v>5.9211281464484462E-2</v>
      </c>
      <c r="W30" s="10">
        <f t="shared" si="8"/>
        <v>1.097794304141801</v>
      </c>
      <c r="X30" s="8">
        <f t="shared" si="9"/>
        <v>11.588080650114552</v>
      </c>
      <c r="Y30" s="9">
        <f t="shared" si="10"/>
        <v>0.57852747572432717</v>
      </c>
      <c r="Z30" s="11">
        <f t="shared" si="11"/>
        <v>2.9397237938871434</v>
      </c>
      <c r="AA30" s="11">
        <f t="shared" si="12"/>
        <v>198.00252521723604</v>
      </c>
      <c r="AB30" s="8">
        <f t="shared" si="1"/>
        <v>1.2051523342061812</v>
      </c>
      <c r="AC30" s="9">
        <f t="shared" si="2"/>
        <v>4.022601189053937E-2</v>
      </c>
      <c r="AD30" s="11">
        <f t="shared" si="3"/>
        <v>134.51578376196366</v>
      </c>
    </row>
    <row r="31" spans="1:30" ht="15.75" thickTop="1" x14ac:dyDescent="0.25">
      <c r="A31" s="1" t="s">
        <v>68</v>
      </c>
      <c r="B31" s="1">
        <f>'Aircraft Dimensions'!C2</f>
        <v>52</v>
      </c>
      <c r="I31" s="1"/>
      <c r="J31" s="1"/>
      <c r="O31" s="6">
        <f t="shared" si="15"/>
        <v>34</v>
      </c>
      <c r="P31" s="7">
        <f t="shared" si="13"/>
        <v>5.1437216338880487E-2</v>
      </c>
      <c r="Q31" s="8">
        <f t="shared" si="14"/>
        <v>3.9184108797700272</v>
      </c>
      <c r="R31" s="9">
        <f t="shared" si="4"/>
        <v>0.74520005420446755</v>
      </c>
      <c r="S31" s="9">
        <f t="shared" si="5"/>
        <v>6.4527306263882228E-2</v>
      </c>
      <c r="T31" s="8">
        <f t="shared" si="6"/>
        <v>1.2642224945332436</v>
      </c>
      <c r="U31" s="8">
        <f t="shared" si="0"/>
        <v>2.0985999999999998</v>
      </c>
      <c r="V31" s="8">
        <f t="shared" si="7"/>
        <v>5.7149144210051794E-2</v>
      </c>
      <c r="W31" s="10">
        <f t="shared" si="8"/>
        <v>1.131060798206704</v>
      </c>
      <c r="X31" s="8">
        <f t="shared" si="9"/>
        <v>11.548600078810004</v>
      </c>
      <c r="Y31" s="9">
        <f t="shared" si="10"/>
        <v>0.59402784066496239</v>
      </c>
      <c r="Z31" s="11">
        <f t="shared" si="11"/>
        <v>3.9397237938871434</v>
      </c>
      <c r="AA31" s="11">
        <f t="shared" si="12"/>
        <v>196.89785151836514</v>
      </c>
      <c r="AB31" s="8">
        <f t="shared" si="1"/>
        <v>1.2792985292399863</v>
      </c>
      <c r="AC31" s="9">
        <f t="shared" si="2"/>
        <v>3.1981555170872318E-2</v>
      </c>
      <c r="AD31" s="11">
        <f t="shared" si="3"/>
        <v>110.18711808204542</v>
      </c>
    </row>
    <row r="32" spans="1:30" x14ac:dyDescent="0.25">
      <c r="A32" s="1" t="s">
        <v>70</v>
      </c>
      <c r="B32" s="1">
        <f>'Aircraft Dimensions'!P2</f>
        <v>2</v>
      </c>
      <c r="C32" s="1" t="s">
        <v>69</v>
      </c>
      <c r="I32" s="1"/>
      <c r="J32" s="1"/>
      <c r="O32" s="6">
        <f t="shared" si="15"/>
        <v>35</v>
      </c>
      <c r="P32" s="7">
        <f t="shared" si="13"/>
        <v>5.2950075642965201E-2</v>
      </c>
      <c r="Q32" s="8">
        <f t="shared" si="14"/>
        <v>4.1522952661922865</v>
      </c>
      <c r="R32" s="9">
        <f t="shared" si="4"/>
        <v>0.70322552053907317</v>
      </c>
      <c r="S32" s="9">
        <f t="shared" si="5"/>
        <v>6.13019258728556E-2</v>
      </c>
      <c r="T32" s="8">
        <f t="shared" si="6"/>
        <v>1.2727184830516438</v>
      </c>
      <c r="U32" s="8">
        <f t="shared" si="0"/>
        <v>2.0724</v>
      </c>
      <c r="V32" s="8">
        <f t="shared" si="7"/>
        <v>5.4772706640298374E-2</v>
      </c>
      <c r="W32" s="10">
        <f t="shared" si="8"/>
        <v>1.164327292271607</v>
      </c>
      <c r="X32" s="8">
        <f t="shared" si="9"/>
        <v>11.471507795654107</v>
      </c>
      <c r="Y32" s="9">
        <f t="shared" si="10"/>
        <v>0.60741720551875</v>
      </c>
      <c r="Z32" s="11">
        <f t="shared" si="11"/>
        <v>4.9397237938871434</v>
      </c>
      <c r="AA32" s="11">
        <f t="shared" si="12"/>
        <v>194.26053288425825</v>
      </c>
      <c r="AB32" s="8">
        <f t="shared" si="1"/>
        <v>1.3556580435285321</v>
      </c>
      <c r="AC32" s="9">
        <f t="shared" si="2"/>
        <v>2.3516347954155324E-2</v>
      </c>
      <c r="AD32" s="11">
        <f t="shared" si="3"/>
        <v>83.404647410737553</v>
      </c>
    </row>
    <row r="33" spans="1:30" ht="15.75" thickBot="1" x14ac:dyDescent="0.3">
      <c r="A33" s="1" t="s">
        <v>71</v>
      </c>
      <c r="B33" s="1">
        <f>'Aircraft Dimensions'!F2</f>
        <v>4</v>
      </c>
      <c r="I33" s="1"/>
      <c r="J33" s="1"/>
      <c r="O33" s="6">
        <f t="shared" si="15"/>
        <v>36</v>
      </c>
      <c r="P33" s="7">
        <f t="shared" si="13"/>
        <v>5.4462934947049922E-2</v>
      </c>
      <c r="Q33" s="8">
        <f t="shared" si="14"/>
        <v>4.3929589101920019</v>
      </c>
      <c r="R33" s="9">
        <f t="shared" si="4"/>
        <v>0.66470004834904683</v>
      </c>
      <c r="S33" s="9">
        <f t="shared" si="5"/>
        <v>5.8506105181822414E-2</v>
      </c>
      <c r="T33" s="8">
        <f t="shared" si="6"/>
        <v>1.2850745802955863</v>
      </c>
      <c r="U33" s="8">
        <f t="shared" si="0"/>
        <v>2.0457999999999998</v>
      </c>
      <c r="V33" s="8">
        <f t="shared" si="7"/>
        <v>5.2104480801672161E-2</v>
      </c>
      <c r="W33" s="10">
        <f t="shared" si="8"/>
        <v>1.19759378633651</v>
      </c>
      <c r="X33" s="8">
        <f t="shared" si="9"/>
        <v>11.361208309514444</v>
      </c>
      <c r="Y33" s="9">
        <f t="shared" si="10"/>
        <v>0.61876474908096812</v>
      </c>
      <c r="Z33" s="11">
        <f t="shared" si="11"/>
        <v>5.9397237938871434</v>
      </c>
      <c r="AA33" s="11">
        <f t="shared" si="12"/>
        <v>190.07714596450003</v>
      </c>
      <c r="AB33" s="8">
        <f t="shared" si="1"/>
        <v>1.4342308770718184</v>
      </c>
      <c r="AC33" s="9">
        <f t="shared" si="2"/>
        <v>1.4830390240388359E-2</v>
      </c>
      <c r="AD33" s="11">
        <f t="shared" si="3"/>
        <v>54.101263596936732</v>
      </c>
    </row>
    <row r="34" spans="1:30" ht="16.5" thickTop="1" thickBot="1" x14ac:dyDescent="0.3">
      <c r="A34" s="1" t="s">
        <v>72</v>
      </c>
      <c r="B34" s="1">
        <f>'Aircraft Dimensions'!P3</f>
        <v>8</v>
      </c>
      <c r="C34" s="1" t="s">
        <v>69</v>
      </c>
      <c r="G34" s="31">
        <v>-1E-4</v>
      </c>
      <c r="H34" t="s">
        <v>51</v>
      </c>
      <c r="I34" s="1"/>
      <c r="J34" s="1"/>
      <c r="O34" s="6">
        <f t="shared" si="15"/>
        <v>37</v>
      </c>
      <c r="P34" s="7">
        <f t="shared" si="13"/>
        <v>5.5975794251134643E-2</v>
      </c>
      <c r="Q34" s="8">
        <f t="shared" si="14"/>
        <v>4.6404018117691752</v>
      </c>
      <c r="R34" s="9">
        <f t="shared" si="4"/>
        <v>0.62925585292941177</v>
      </c>
      <c r="S34" s="9">
        <f t="shared" si="5"/>
        <v>5.607298548286456E-2</v>
      </c>
      <c r="T34" s="8">
        <f t="shared" si="6"/>
        <v>1.3010059171299568</v>
      </c>
      <c r="U34" s="8">
        <f t="shared" si="0"/>
        <v>2.0187999999999997</v>
      </c>
      <c r="V34" s="8">
        <f t="shared" si="7"/>
        <v>4.916397827877006E-2</v>
      </c>
      <c r="W34" s="10">
        <f t="shared" si="8"/>
        <v>1.230860280401413</v>
      </c>
      <c r="X34" s="8">
        <f t="shared" si="9"/>
        <v>11.222085778216806</v>
      </c>
      <c r="Y34" s="9">
        <f t="shared" si="10"/>
        <v>0.62816516459004812</v>
      </c>
      <c r="Z34" s="11">
        <f t="shared" si="11"/>
        <v>6.9397237938871434</v>
      </c>
      <c r="AA34" s="11">
        <f t="shared" si="12"/>
        <v>184.33214255986854</v>
      </c>
      <c r="AB34" s="8">
        <f t="shared" si="1"/>
        <v>1.5150170298698451</v>
      </c>
      <c r="AC34" s="9">
        <f t="shared" si="2"/>
        <v>5.9236820295713805E-3</v>
      </c>
      <c r="AD34" s="11">
        <f t="shared" si="3"/>
        <v>22.209858489539627</v>
      </c>
    </row>
    <row r="35" spans="1:30" ht="16.5" thickTop="1" thickBot="1" x14ac:dyDescent="0.3">
      <c r="G35" s="30">
        <v>-6.1999999999999998E-3</v>
      </c>
      <c r="H35" t="s">
        <v>52</v>
      </c>
      <c r="I35" s="1"/>
      <c r="J35" s="1"/>
      <c r="O35" s="6">
        <f t="shared" si="15"/>
        <v>38</v>
      </c>
      <c r="P35" s="7">
        <f t="shared" si="13"/>
        <v>5.7488653555219364E-2</v>
      </c>
      <c r="Q35" s="8">
        <f t="shared" si="14"/>
        <v>4.8946239709238055</v>
      </c>
      <c r="R35" s="9">
        <f t="shared" si="4"/>
        <v>0.59657289657919987</v>
      </c>
      <c r="S35" s="9">
        <f t="shared" si="5"/>
        <v>5.3947539786435961E-2</v>
      </c>
      <c r="T35" s="8">
        <f t="shared" si="6"/>
        <v>1.3202646070552759</v>
      </c>
      <c r="U35" s="8">
        <f t="shared" si="0"/>
        <v>1.9913999999999998</v>
      </c>
      <c r="V35" s="8">
        <f t="shared" si="7"/>
        <v>4.5968177598953691E-2</v>
      </c>
      <c r="W35" s="10">
        <f t="shared" si="8"/>
        <v>1.2641267744663163</v>
      </c>
      <c r="X35" s="8">
        <f t="shared" si="9"/>
        <v>11.0583892971</v>
      </c>
      <c r="Y35" s="9">
        <f t="shared" si="10"/>
        <v>0.63573191117972772</v>
      </c>
      <c r="Z35" s="11">
        <f t="shared" si="11"/>
        <v>7.9397237938871434</v>
      </c>
      <c r="AA35" s="11">
        <f t="shared" si="12"/>
        <v>177.00812920770437</v>
      </c>
      <c r="AB35" s="8">
        <f t="shared" si="1"/>
        <v>1.5980165019226129</v>
      </c>
      <c r="AC35" s="9">
        <f t="shared" si="2"/>
        <v>-3.2037766782955679E-3</v>
      </c>
      <c r="AD35" s="11">
        <f t="shared" si="3"/>
        <v>-12.336676062556799</v>
      </c>
    </row>
    <row r="36" spans="1:30" ht="16.5" thickTop="1" thickBot="1" x14ac:dyDescent="0.3">
      <c r="G36" s="30">
        <v>1.3756999999999999</v>
      </c>
      <c r="I36" s="1"/>
      <c r="J36" s="1"/>
      <c r="O36" s="6">
        <f t="shared" si="15"/>
        <v>39</v>
      </c>
      <c r="P36" s="7">
        <f t="shared" ref="P36:P42" si="16">O36/661</f>
        <v>5.9001512859304085E-2</v>
      </c>
      <c r="Q36" s="8">
        <f t="shared" ref="Q36:Q42" si="17">1481*P36^2</f>
        <v>5.155625387655892</v>
      </c>
      <c r="R36" s="9">
        <f t="shared" ref="R36:R42" si="18">IF(W36&lt;1,"",$P$10/Q36/$P$13)</f>
        <v>0.566371638829957</v>
      </c>
      <c r="S36" s="9">
        <f t="shared" ref="S36:S42" si="19">IF(W36&lt;1,"",R36^2/(PI()*$P$12)+$P$11)</f>
        <v>5.208423924990542E-2</v>
      </c>
      <c r="T36" s="8">
        <f t="shared" ref="T36:T42" si="20">IF(S36="","",Q36*S36*$P$13)</f>
        <v>1.3426341308677792</v>
      </c>
      <c r="U36" s="8">
        <f t="shared" si="0"/>
        <v>1.9635999999999998</v>
      </c>
      <c r="V36" s="8">
        <f t="shared" ref="V36:V42" si="21">IF(S36="","",(U36-T36)/$P$10)</f>
        <v>4.2531908844672645E-2</v>
      </c>
      <c r="W36" s="10">
        <f t="shared" ref="W36:W42" si="22">P36/$U$9</f>
        <v>1.2973932685312193</v>
      </c>
      <c r="X36" s="8">
        <f t="shared" ref="X36:X42" si="23">IF(W36&lt;1,"",R36/S36)</f>
        <v>10.874146325003403</v>
      </c>
      <c r="Y36" s="9">
        <f t="shared" ref="Y36:Y42" si="24">IF(W36&lt;1,"",X36*P36)</f>
        <v>0.64159108422864253</v>
      </c>
      <c r="Z36" s="11">
        <f t="shared" ref="Z36:Z42" si="25">O36-$U$10</f>
        <v>8.9397237938871434</v>
      </c>
      <c r="AA36" s="11">
        <f t="shared" ref="AA36:AA42" si="26">IF(W36&lt;1,"",V36*O36/60*6080)</f>
        <v>168.08610375414628</v>
      </c>
      <c r="AB36" s="8">
        <f t="shared" ref="AB36:AB42" si="27">IF(W36&lt;1,"",W36^2)</f>
        <v>1.6832292932301205</v>
      </c>
      <c r="AC36" s="9">
        <f t="shared" ref="AC36:AC42" si="28">IF(W36&lt;1,"",(U36-(Q36*$P$13*($P$11+$P$8^2/(PI()*$P$12))))/$P$10)</f>
        <v>-1.2551985883212441E-2</v>
      </c>
      <c r="AD36" s="11">
        <f t="shared" ref="AD36:AD42" si="29">IF(W36&lt;1,"",AC36*O36*6080/60)</f>
        <v>-49.60544821045557</v>
      </c>
    </row>
    <row r="37" spans="1:30" ht="15.75" thickTop="1" x14ac:dyDescent="0.25">
      <c r="I37" s="1"/>
      <c r="J37" s="1"/>
      <c r="O37" s="6">
        <f t="shared" si="15"/>
        <v>40</v>
      </c>
      <c r="P37" s="7">
        <f t="shared" si="16"/>
        <v>6.0514372163388806E-2</v>
      </c>
      <c r="Q37" s="8">
        <f t="shared" si="17"/>
        <v>5.4234060619654354</v>
      </c>
      <c r="R37" s="9">
        <f t="shared" si="18"/>
        <v>0.53840703916272781</v>
      </c>
      <c r="S37" s="9">
        <f t="shared" si="19"/>
        <v>5.0445224857229264E-2</v>
      </c>
      <c r="T37" s="8">
        <f t="shared" si="20"/>
        <v>1.3679246914395331</v>
      </c>
      <c r="U37" s="8">
        <f t="shared" si="0"/>
        <v>1.9353999999999998</v>
      </c>
      <c r="V37" s="8">
        <f t="shared" si="21"/>
        <v>3.8868171819210047E-2</v>
      </c>
      <c r="W37" s="10">
        <f t="shared" si="22"/>
        <v>1.3306597625961223</v>
      </c>
      <c r="X37" s="8">
        <f t="shared" si="23"/>
        <v>10.673102175409753</v>
      </c>
      <c r="Y37" s="9">
        <f t="shared" si="24"/>
        <v>0.64587607718062046</v>
      </c>
      <c r="Z37" s="11">
        <f t="shared" si="25"/>
        <v>9.9397237938871434</v>
      </c>
      <c r="AA37" s="11">
        <f t="shared" si="26"/>
        <v>157.54565644053139</v>
      </c>
      <c r="AB37" s="8">
        <f t="shared" si="27"/>
        <v>1.7706554037923685</v>
      </c>
      <c r="AC37" s="9">
        <f t="shared" si="28"/>
        <v>-2.2120945585179328E-2</v>
      </c>
      <c r="AD37" s="11">
        <f t="shared" si="29"/>
        <v>-89.663566105260216</v>
      </c>
    </row>
    <row r="38" spans="1:30" x14ac:dyDescent="0.25">
      <c r="A38" s="1" t="s">
        <v>65</v>
      </c>
      <c r="B38" s="1">
        <f>B29+B30</f>
        <v>6.1</v>
      </c>
      <c r="C38" s="1" t="s">
        <v>64</v>
      </c>
      <c r="I38" s="1"/>
      <c r="J38" s="1"/>
      <c r="O38" s="6">
        <f t="shared" si="15"/>
        <v>41</v>
      </c>
      <c r="P38" s="7">
        <f t="shared" si="16"/>
        <v>6.2027231467473527E-2</v>
      </c>
      <c r="Q38" s="8">
        <f t="shared" si="17"/>
        <v>5.6979659938524359</v>
      </c>
      <c r="R38" s="9">
        <f t="shared" si="18"/>
        <v>0.51246357088659411</v>
      </c>
      <c r="S38" s="9">
        <f t="shared" si="19"/>
        <v>4.899886567255568E-2</v>
      </c>
      <c r="T38" s="8">
        <f t="shared" si="20"/>
        <v>1.3959693516978287</v>
      </c>
      <c r="U38" s="8">
        <f t="shared" si="0"/>
        <v>1.9067999999999998</v>
      </c>
      <c r="V38" s="8">
        <f t="shared" si="21"/>
        <v>3.4988400568641866E-2</v>
      </c>
      <c r="W38" s="10">
        <f t="shared" si="22"/>
        <v>1.3639262566610255</v>
      </c>
      <c r="X38" s="8">
        <f t="shared" si="23"/>
        <v>10.458682335857125</v>
      </c>
      <c r="Y38" s="9">
        <f t="shared" si="24"/>
        <v>0.6487231100909866</v>
      </c>
      <c r="Z38" s="11">
        <f t="shared" si="25"/>
        <v>10.939723793887143</v>
      </c>
      <c r="AA38" s="11">
        <f t="shared" si="26"/>
        <v>145.36514156251738</v>
      </c>
      <c r="AB38" s="8">
        <f t="shared" si="27"/>
        <v>1.8602948336093577</v>
      </c>
      <c r="AC38" s="9">
        <f t="shared" si="28"/>
        <v>-3.1910655784196142E-2</v>
      </c>
      <c r="AD38" s="11">
        <f t="shared" si="29"/>
        <v>-132.57813789807358</v>
      </c>
    </row>
    <row r="39" spans="1:30" x14ac:dyDescent="0.25">
      <c r="A39" s="1" t="s">
        <v>66</v>
      </c>
      <c r="B39" s="1">
        <f>B38+B31*B32/16</f>
        <v>12.6</v>
      </c>
      <c r="C39" s="1" t="s">
        <v>64</v>
      </c>
      <c r="I39" s="1"/>
      <c r="J39" s="1"/>
      <c r="O39" s="6">
        <f t="shared" si="15"/>
        <v>42</v>
      </c>
      <c r="P39" s="7">
        <f t="shared" si="16"/>
        <v>6.3540090771558241E-2</v>
      </c>
      <c r="Q39" s="8">
        <f t="shared" si="17"/>
        <v>5.9793051833168924</v>
      </c>
      <c r="R39" s="9">
        <f t="shared" si="18"/>
        <v>0.4883510559299119</v>
      </c>
      <c r="S39" s="9">
        <f t="shared" si="19"/>
        <v>4.7718614946308899E-2</v>
      </c>
      <c r="T39" s="8">
        <f t="shared" si="20"/>
        <v>1.4266208084458387</v>
      </c>
      <c r="U39" s="8">
        <f t="shared" si="0"/>
        <v>1.8777999999999999</v>
      </c>
      <c r="V39" s="8">
        <f t="shared" si="21"/>
        <v>3.0902684353024741E-2</v>
      </c>
      <c r="W39" s="10">
        <f t="shared" si="22"/>
        <v>1.3971927507259283</v>
      </c>
      <c r="X39" s="8">
        <f t="shared" si="23"/>
        <v>10.233973816704136</v>
      </c>
      <c r="Y39" s="9">
        <f t="shared" si="24"/>
        <v>0.65026762526713111</v>
      </c>
      <c r="Z39" s="11">
        <f t="shared" si="25"/>
        <v>11.939723793887143</v>
      </c>
      <c r="AA39" s="11">
        <f t="shared" si="26"/>
        <v>131.5218246064733</v>
      </c>
      <c r="AB39" s="8">
        <f t="shared" si="27"/>
        <v>1.9521475826810861</v>
      </c>
      <c r="AC39" s="9">
        <f t="shared" si="28"/>
        <v>-4.1921116480262907E-2</v>
      </c>
      <c r="AD39" s="11">
        <f t="shared" si="29"/>
        <v>-178.41627173999893</v>
      </c>
    </row>
    <row r="40" spans="1:30" x14ac:dyDescent="0.25">
      <c r="A40" s="1" t="s">
        <v>67</v>
      </c>
      <c r="B40" s="1">
        <f>B31*B32/16+B38+B33*B34/16</f>
        <v>14.6</v>
      </c>
      <c r="C40" s="1" t="s">
        <v>64</v>
      </c>
      <c r="D40" s="79" t="s">
        <v>171</v>
      </c>
      <c r="I40" s="1"/>
      <c r="J40" s="1"/>
      <c r="O40" s="6">
        <f t="shared" si="15"/>
        <v>43</v>
      </c>
      <c r="P40" s="7">
        <f t="shared" si="16"/>
        <v>6.5052950075642962E-2</v>
      </c>
      <c r="Q40" s="8">
        <f t="shared" si="17"/>
        <v>6.267423630358806</v>
      </c>
      <c r="R40" s="9">
        <f t="shared" si="18"/>
        <v>0.46590116963783917</v>
      </c>
      <c r="S40" s="9">
        <f t="shared" si="19"/>
        <v>4.6582097245460884E-2</v>
      </c>
      <c r="T40" s="8">
        <f t="shared" si="20"/>
        <v>1.4597486851393671</v>
      </c>
      <c r="U40" s="8">
        <f t="shared" si="0"/>
        <v>1.8483999999999998</v>
      </c>
      <c r="V40" s="8">
        <f t="shared" si="21"/>
        <v>2.6619953072646078E-2</v>
      </c>
      <c r="W40" s="10">
        <f t="shared" si="22"/>
        <v>1.4304592447908315</v>
      </c>
      <c r="X40" s="8">
        <f t="shared" si="23"/>
        <v>10.001721631012183</v>
      </c>
      <c r="Y40" s="9">
        <f t="shared" si="24"/>
        <v>0.65064149793271386</v>
      </c>
      <c r="Z40" s="11">
        <f t="shared" si="25"/>
        <v>12.939723793887143</v>
      </c>
      <c r="AA40" s="11">
        <f t="shared" si="26"/>
        <v>115.99200885520985</v>
      </c>
      <c r="AB40" s="8">
        <f t="shared" si="27"/>
        <v>2.0462136510075561</v>
      </c>
      <c r="AC40" s="9">
        <f t="shared" si="28"/>
        <v>-5.2152327673379677E-2</v>
      </c>
      <c r="AD40" s="11">
        <f t="shared" si="29"/>
        <v>-227.24507578213971</v>
      </c>
    </row>
    <row r="41" spans="1:30" x14ac:dyDescent="0.25">
      <c r="D41" s="79"/>
      <c r="I41" s="1"/>
      <c r="J41" s="1"/>
      <c r="O41" s="6">
        <f t="shared" si="15"/>
        <v>44</v>
      </c>
      <c r="P41" s="7">
        <f t="shared" si="16"/>
        <v>6.6565809379727683E-2</v>
      </c>
      <c r="Q41" s="8">
        <f t="shared" si="17"/>
        <v>6.5623213349781757</v>
      </c>
      <c r="R41" s="9">
        <f t="shared" si="18"/>
        <v>0.44496449517580822</v>
      </c>
      <c r="S41" s="9">
        <f t="shared" si="19"/>
        <v>4.5570375909307098E-2</v>
      </c>
      <c r="T41" s="8">
        <f t="shared" si="20"/>
        <v>1.4952372503631073</v>
      </c>
      <c r="U41" s="8">
        <f t="shared" si="0"/>
        <v>1.8185999999999998</v>
      </c>
      <c r="V41" s="8">
        <f t="shared" si="21"/>
        <v>2.2148133536773459E-2</v>
      </c>
      <c r="W41" s="10">
        <f t="shared" si="22"/>
        <v>1.4637257388557345</v>
      </c>
      <c r="X41" s="8">
        <f t="shared" si="23"/>
        <v>9.7643367274688337</v>
      </c>
      <c r="Y41" s="9">
        <f t="shared" si="24"/>
        <v>0.6499709773201644</v>
      </c>
      <c r="Z41" s="11">
        <f t="shared" si="25"/>
        <v>13.939723793887143</v>
      </c>
      <c r="AA41" s="11">
        <f t="shared" si="26"/>
        <v>98.751144729293927</v>
      </c>
      <c r="AB41" s="8">
        <f t="shared" si="27"/>
        <v>2.1424930385887659</v>
      </c>
      <c r="AC41" s="9">
        <f t="shared" si="28"/>
        <v>-6.2604289363546395E-2</v>
      </c>
      <c r="AD41" s="11">
        <f t="shared" si="29"/>
        <v>-279.13165817559889</v>
      </c>
    </row>
    <row r="42" spans="1:30" x14ac:dyDescent="0.25">
      <c r="I42" s="1"/>
      <c r="J42" s="1"/>
      <c r="O42" s="6">
        <f t="shared" si="15"/>
        <v>45</v>
      </c>
      <c r="P42" s="7">
        <f t="shared" si="16"/>
        <v>6.8078668683812404E-2</v>
      </c>
      <c r="Q42" s="8">
        <f t="shared" si="17"/>
        <v>6.8639982971750042</v>
      </c>
      <c r="R42" s="9">
        <f t="shared" si="18"/>
        <v>0.42540803094338991</v>
      </c>
      <c r="S42" s="9">
        <f t="shared" si="19"/>
        <v>4.4667362106394118E-2</v>
      </c>
      <c r="T42" s="8">
        <f t="shared" si="20"/>
        <v>1.5329834871879426</v>
      </c>
      <c r="U42" s="8">
        <f t="shared" si="0"/>
        <v>1.7883999999999998</v>
      </c>
      <c r="V42" s="8">
        <f t="shared" si="21"/>
        <v>1.7494281699455969E-2</v>
      </c>
      <c r="W42" s="10">
        <f t="shared" si="22"/>
        <v>1.4969922329206375</v>
      </c>
      <c r="X42" s="8">
        <f t="shared" si="23"/>
        <v>9.523912111265977</v>
      </c>
      <c r="Y42" s="9">
        <f t="shared" si="24"/>
        <v>0.6483752571966247</v>
      </c>
      <c r="Z42" s="11">
        <f t="shared" si="25"/>
        <v>14.939723793887143</v>
      </c>
      <c r="AA42" s="11">
        <f t="shared" si="26"/>
        <v>79.773924549519208</v>
      </c>
      <c r="AB42" s="8">
        <f t="shared" si="27"/>
        <v>2.2409857454247164</v>
      </c>
      <c r="AC42" s="9">
        <f t="shared" si="28"/>
        <v>-7.327700155076311E-2</v>
      </c>
      <c r="AD42" s="11">
        <f t="shared" si="29"/>
        <v>-334.1431270714798</v>
      </c>
    </row>
    <row r="43" spans="1:30" x14ac:dyDescent="0.25">
      <c r="A43" s="1" t="s">
        <v>73</v>
      </c>
      <c r="B43" s="1">
        <f>J12</f>
        <v>45</v>
      </c>
      <c r="C43" s="1" t="s">
        <v>56</v>
      </c>
      <c r="I43" s="1"/>
      <c r="J43" s="1"/>
      <c r="O43" s="6">
        <f t="shared" si="15"/>
        <v>46</v>
      </c>
      <c r="P43" s="7">
        <f t="shared" ref="P43:P66" si="30">O43/661</f>
        <v>6.9591527987897125E-2</v>
      </c>
      <c r="Q43" s="8">
        <f t="shared" ref="Q43:Q66" si="31">1481*P43^2</f>
        <v>7.1724545169492888</v>
      </c>
      <c r="R43" s="9">
        <f t="shared" ref="R43:R66" si="32">IF(W43&lt;1,"",$P$10/Q43/$P$13)</f>
        <v>0.40711307309090949</v>
      </c>
      <c r="S43" s="9">
        <f t="shared" ref="S43:S66" si="33">IF(W43&lt;1,"",R43^2/(PI()*$P$12)+$P$11)</f>
        <v>4.3859335722483177E-2</v>
      </c>
      <c r="T43" s="8">
        <f t="shared" ref="T43:T66" si="34">IF(S43="","",Q43*S43*$P$13)</f>
        <v>1.572895453065599</v>
      </c>
      <c r="U43" s="8">
        <f t="shared" si="0"/>
        <v>1.7577999999999998</v>
      </c>
      <c r="V43" s="8">
        <f t="shared" ref="V43:V66" si="35">IF(S43="","",(U43-T43)/$P$10)</f>
        <v>1.2664694995506907E-2</v>
      </c>
      <c r="W43" s="10">
        <f t="shared" ref="W43:W66" si="36">P43/$U$9</f>
        <v>1.5302587269855408</v>
      </c>
      <c r="X43" s="8">
        <f t="shared" ref="X43:X66" si="37">IF(W43&lt;1,"",R43/S43)</f>
        <v>9.2822443930042269</v>
      </c>
      <c r="Y43" s="9">
        <f t="shared" ref="Y43:Y66" si="38">IF(W43&lt;1,"",X43*P43)</f>
        <v>0.6459655704662548</v>
      </c>
      <c r="Z43" s="11">
        <f t="shared" ref="Z43:Z66" si="39">O43-$U$10</f>
        <v>15.939723793887143</v>
      </c>
      <c r="AA43" s="11">
        <f t="shared" ref="AA43:AA66" si="40">IF(W43&lt;1,"",V43*O43/60*6080)</f>
        <v>59.034364939056189</v>
      </c>
      <c r="AB43" s="8">
        <f t="shared" ref="AB43:AB66" si="41">IF(W43&lt;1,"",W43^2)</f>
        <v>2.341691771515408</v>
      </c>
      <c r="AC43" s="9">
        <f t="shared" ref="AC43:AC66" si="42">IF(W43&lt;1,"",(U43-(Q43*$P$13*($P$11+$P$8^2/(PI()*$P$12))))/$P$10)</f>
        <v>-8.4170464235029774E-2</v>
      </c>
      <c r="AD43" s="11">
        <f t="shared" ref="AD43:AD66" si="43">IF(W43&lt;1,"",AC43*O43*6080/60)</f>
        <v>-392.34659062088548</v>
      </c>
    </row>
    <row r="44" spans="1:30" x14ac:dyDescent="0.25">
      <c r="A44" s="1" t="s">
        <v>74</v>
      </c>
      <c r="B44" s="1">
        <f>50/B43*30</f>
        <v>33.333333333333336</v>
      </c>
      <c r="C44" s="1" t="s">
        <v>75</v>
      </c>
      <c r="E44" s="1" t="s">
        <v>84</v>
      </c>
      <c r="F44">
        <v>16</v>
      </c>
      <c r="I44" s="1"/>
      <c r="J44" s="1"/>
      <c r="O44" s="6">
        <f t="shared" si="15"/>
        <v>47</v>
      </c>
      <c r="P44" s="7">
        <f t="shared" si="30"/>
        <v>7.1104387291981846E-2</v>
      </c>
      <c r="Q44" s="8">
        <f t="shared" si="31"/>
        <v>7.4876899943010287</v>
      </c>
      <c r="R44" s="9">
        <f t="shared" si="32"/>
        <v>0.38997340998658425</v>
      </c>
      <c r="S44" s="9">
        <f t="shared" si="33"/>
        <v>4.3134555051690351E-2</v>
      </c>
      <c r="T44" s="8">
        <f t="shared" si="34"/>
        <v>1.6148908813458438</v>
      </c>
      <c r="U44" s="8">
        <f t="shared" si="0"/>
        <v>1.7267999999999999</v>
      </c>
      <c r="V44" s="8">
        <f t="shared" si="35"/>
        <v>7.6650081269969928E-3</v>
      </c>
      <c r="W44" s="10">
        <f t="shared" si="36"/>
        <v>1.5635252210504438</v>
      </c>
      <c r="X44" s="8">
        <f t="shared" si="37"/>
        <v>9.040858530226151</v>
      </c>
      <c r="Y44" s="9">
        <f t="shared" si="38"/>
        <v>0.64284470638521796</v>
      </c>
      <c r="Z44" s="11">
        <f t="shared" si="39"/>
        <v>16.939723793887143</v>
      </c>
      <c r="AA44" s="11">
        <f t="shared" si="40"/>
        <v>36.505878706177675</v>
      </c>
      <c r="AB44" s="8">
        <f t="shared" si="41"/>
        <v>2.4446111168608389</v>
      </c>
      <c r="AC44" s="9">
        <f t="shared" si="42"/>
        <v>-9.5284677416346386E-2</v>
      </c>
      <c r="AD44" s="11">
        <f t="shared" si="43"/>
        <v>-453.80915697491906</v>
      </c>
    </row>
    <row r="45" spans="1:30" x14ac:dyDescent="0.25">
      <c r="A45" s="1" t="s">
        <v>76</v>
      </c>
      <c r="B45" s="1">
        <f>B44*3</f>
        <v>100</v>
      </c>
      <c r="C45" s="1" t="s">
        <v>75</v>
      </c>
      <c r="E45" s="1" t="s">
        <v>84</v>
      </c>
      <c r="F45">
        <v>80</v>
      </c>
      <c r="I45" s="1"/>
      <c r="J45" s="1"/>
      <c r="O45" s="6">
        <f t="shared" si="15"/>
        <v>48</v>
      </c>
      <c r="P45" s="7">
        <f t="shared" si="30"/>
        <v>7.2617246596066568E-2</v>
      </c>
      <c r="Q45" s="8">
        <f t="shared" si="31"/>
        <v>7.8097047292302264</v>
      </c>
      <c r="R45" s="9">
        <f t="shared" si="32"/>
        <v>0.37389377719633882</v>
      </c>
      <c r="S45" s="9">
        <f t="shared" si="33"/>
        <v>4.248293737318664E-2</v>
      </c>
      <c r="T45" s="8">
        <f t="shared" si="34"/>
        <v>1.6588959845748361</v>
      </c>
      <c r="U45" s="8">
        <f t="shared" si="0"/>
        <v>1.6953999999999998</v>
      </c>
      <c r="V45" s="8">
        <f t="shared" si="35"/>
        <v>2.5002750291208001E-3</v>
      </c>
      <c r="W45" s="10">
        <f t="shared" si="36"/>
        <v>1.5967917151153468</v>
      </c>
      <c r="X45" s="8">
        <f t="shared" si="37"/>
        <v>8.8010340224808488</v>
      </c>
      <c r="Y45" s="9">
        <f t="shared" si="38"/>
        <v>0.63910685791086341</v>
      </c>
      <c r="Z45" s="11">
        <f t="shared" si="39"/>
        <v>17.939723793887143</v>
      </c>
      <c r="AA45" s="11">
        <f t="shared" si="40"/>
        <v>12.161337741643573</v>
      </c>
      <c r="AB45" s="8">
        <f t="shared" si="41"/>
        <v>2.5497437814610109</v>
      </c>
      <c r="AC45" s="9">
        <f t="shared" si="42"/>
        <v>-0.10661964109471297</v>
      </c>
      <c r="AD45" s="11">
        <f t="shared" si="43"/>
        <v>-518.5979342846839</v>
      </c>
    </row>
    <row r="46" spans="1:30" x14ac:dyDescent="0.25">
      <c r="I46" s="1"/>
      <c r="J46" s="1"/>
      <c r="O46" s="6">
        <f t="shared" si="15"/>
        <v>49</v>
      </c>
      <c r="P46" s="7">
        <f t="shared" si="30"/>
        <v>7.4130105900151289E-2</v>
      </c>
      <c r="Q46" s="8">
        <f t="shared" si="31"/>
        <v>8.138498721736882</v>
      </c>
      <c r="R46" s="9">
        <f t="shared" si="32"/>
        <v>0.35878853088728219</v>
      </c>
      <c r="S46" s="9">
        <f t="shared" si="33"/>
        <v>4.1895796393528598E-2</v>
      </c>
      <c r="T46" s="8">
        <f t="shared" si="34"/>
        <v>1.7048444269744059</v>
      </c>
      <c r="U46" s="8">
        <f t="shared" si="0"/>
        <v>1.6635999999999997</v>
      </c>
      <c r="V46" s="8">
        <f t="shared" si="35"/>
        <v>-2.8249607516716516E-3</v>
      </c>
      <c r="W46" s="10">
        <f t="shared" si="36"/>
        <v>1.63005820918025</v>
      </c>
      <c r="X46" s="8">
        <f t="shared" si="37"/>
        <v>8.5638312616657206</v>
      </c>
      <c r="Y46" s="9">
        <f t="shared" si="38"/>
        <v>0.63483771833830605</v>
      </c>
      <c r="Z46" s="11">
        <f t="shared" si="39"/>
        <v>18.939723793887143</v>
      </c>
      <c r="AA46" s="11">
        <f t="shared" si="40"/>
        <v>-14.026871785633643</v>
      </c>
      <c r="AB46" s="8">
        <f t="shared" si="41"/>
        <v>2.6570897653159236</v>
      </c>
      <c r="AC46" s="9">
        <f t="shared" si="42"/>
        <v>-0.11817535527012957</v>
      </c>
      <c r="AD46" s="11">
        <f t="shared" si="43"/>
        <v>-586.78003070128341</v>
      </c>
    </row>
    <row r="47" spans="1:30" x14ac:dyDescent="0.25">
      <c r="A47" s="1" t="s">
        <v>77</v>
      </c>
      <c r="B47" s="1">
        <f>J17</f>
        <v>45</v>
      </c>
      <c r="C47" s="1" t="s">
        <v>56</v>
      </c>
      <c r="E47" s="1" t="s">
        <v>84</v>
      </c>
      <c r="F47">
        <f>7*8</f>
        <v>56</v>
      </c>
      <c r="I47" s="1"/>
      <c r="J47" s="1"/>
      <c r="O47" s="6">
        <f t="shared" si="15"/>
        <v>50</v>
      </c>
      <c r="P47" s="7">
        <f t="shared" si="30"/>
        <v>7.564296520423601E-2</v>
      </c>
      <c r="Q47" s="8">
        <f t="shared" si="31"/>
        <v>8.4740719718209938</v>
      </c>
      <c r="R47" s="9">
        <f t="shared" si="32"/>
        <v>0.34458050506414584</v>
      </c>
      <c r="S47" s="9">
        <f t="shared" si="33"/>
        <v>4.1365625525440763E-2</v>
      </c>
      <c r="T47" s="8">
        <f t="shared" si="34"/>
        <v>1.7526764393099032</v>
      </c>
      <c r="U47" s="8">
        <f t="shared" si="0"/>
        <v>1.6313999999999997</v>
      </c>
      <c r="V47" s="8">
        <f t="shared" si="35"/>
        <v>-8.3066054321851712E-3</v>
      </c>
      <c r="W47" s="10">
        <f t="shared" si="36"/>
        <v>1.663324703245153</v>
      </c>
      <c r="X47" s="8">
        <f t="shared" si="37"/>
        <v>8.3301171126306617</v>
      </c>
      <c r="Y47" s="9">
        <f t="shared" si="38"/>
        <v>0.63011475889793211</v>
      </c>
      <c r="Z47" s="11">
        <f t="shared" si="39"/>
        <v>19.939723793887143</v>
      </c>
      <c r="AA47" s="11">
        <f t="shared" si="40"/>
        <v>-42.086800856404871</v>
      </c>
      <c r="AB47" s="8">
        <f t="shared" si="41"/>
        <v>2.7666490684255765</v>
      </c>
      <c r="AC47" s="9">
        <f t="shared" si="42"/>
        <v>-0.12995181994259611</v>
      </c>
      <c r="AD47" s="11">
        <f t="shared" si="43"/>
        <v>-658.42255437582025</v>
      </c>
    </row>
    <row r="48" spans="1:30" x14ac:dyDescent="0.25">
      <c r="A48" s="1" t="s">
        <v>74</v>
      </c>
      <c r="B48" s="1">
        <f>30*50/B47</f>
        <v>33.333333333333336</v>
      </c>
      <c r="C48" s="1" t="s">
        <v>75</v>
      </c>
      <c r="E48" s="1" t="s">
        <v>84</v>
      </c>
      <c r="F48">
        <v>15</v>
      </c>
      <c r="I48" s="1"/>
      <c r="J48" s="1"/>
      <c r="O48" s="6">
        <f t="shared" si="15"/>
        <v>51</v>
      </c>
      <c r="P48" s="7">
        <f t="shared" si="30"/>
        <v>7.7155824508320731E-2</v>
      </c>
      <c r="Q48" s="8">
        <f t="shared" si="31"/>
        <v>8.8164244794825617</v>
      </c>
      <c r="R48" s="9">
        <f t="shared" si="32"/>
        <v>0.33120002409087446</v>
      </c>
      <c r="S48" s="9">
        <f t="shared" si="33"/>
        <v>4.088591828193304E-2</v>
      </c>
      <c r="T48" s="8">
        <f t="shared" si="34"/>
        <v>1.8023380540347902</v>
      </c>
      <c r="U48" s="8">
        <f t="shared" ref="U48:U68" si="44">$P$9*($G$34*O48^2+$G$35*O48+$G$36)</f>
        <v>1.5987999999999998</v>
      </c>
      <c r="V48" s="8">
        <f t="shared" si="35"/>
        <v>-1.3940962605122632E-2</v>
      </c>
      <c r="W48" s="10">
        <f t="shared" si="36"/>
        <v>1.696591197310056</v>
      </c>
      <c r="X48" s="8">
        <f t="shared" si="37"/>
        <v>8.1005891027578425</v>
      </c>
      <c r="Y48" s="9">
        <f t="shared" si="38"/>
        <v>0.62500763122639935</v>
      </c>
      <c r="Z48" s="11">
        <f t="shared" si="39"/>
        <v>20.939723793887143</v>
      </c>
      <c r="AA48" s="11">
        <f t="shared" si="40"/>
        <v>-72.046894743273768</v>
      </c>
      <c r="AB48" s="8">
        <f t="shared" si="41"/>
        <v>2.8784216907899696</v>
      </c>
      <c r="AC48" s="9">
        <f t="shared" si="42"/>
        <v>-0.1419490351121126</v>
      </c>
      <c r="AD48" s="11">
        <f t="shared" si="43"/>
        <v>-733.59261345939785</v>
      </c>
    </row>
    <row r="49" spans="1:30" x14ac:dyDescent="0.25">
      <c r="A49" s="1" t="s">
        <v>78</v>
      </c>
      <c r="B49" s="1">
        <f>INT(600/B48)</f>
        <v>18</v>
      </c>
      <c r="C49" s="1" t="s">
        <v>79</v>
      </c>
      <c r="E49" s="1" t="s">
        <v>84</v>
      </c>
      <c r="F49">
        <v>23</v>
      </c>
      <c r="I49" s="1"/>
      <c r="J49" s="1"/>
      <c r="O49" s="6">
        <f t="shared" si="15"/>
        <v>52</v>
      </c>
      <c r="P49" s="7">
        <f t="shared" si="30"/>
        <v>7.8668683812405452E-2</v>
      </c>
      <c r="Q49" s="8">
        <f t="shared" si="31"/>
        <v>9.1655562447215857</v>
      </c>
      <c r="R49" s="9">
        <f t="shared" si="32"/>
        <v>0.31858404684185082</v>
      </c>
      <c r="S49" s="9">
        <f t="shared" si="33"/>
        <v>4.0451018855666029E-2</v>
      </c>
      <c r="T49" s="8">
        <f t="shared" si="34"/>
        <v>1.8537804423895019</v>
      </c>
      <c r="U49" s="8">
        <f t="shared" si="44"/>
        <v>1.5657999999999999</v>
      </c>
      <c r="V49" s="8">
        <f t="shared" si="35"/>
        <v>-1.9724687834897402E-2</v>
      </c>
      <c r="W49" s="10">
        <f t="shared" si="36"/>
        <v>1.7298576913749593</v>
      </c>
      <c r="X49" s="8">
        <f t="shared" si="37"/>
        <v>7.875797837839289</v>
      </c>
      <c r="Y49" s="9">
        <f t="shared" si="38"/>
        <v>0.61957864987540556</v>
      </c>
      <c r="Z49" s="11">
        <f t="shared" si="39"/>
        <v>21.939723793887143</v>
      </c>
      <c r="AA49" s="11">
        <f t="shared" si="40"/>
        <v>-103.93595509801938</v>
      </c>
      <c r="AB49" s="8">
        <f t="shared" si="41"/>
        <v>2.9924076324091038</v>
      </c>
      <c r="AC49" s="9">
        <f t="shared" si="42"/>
        <v>-0.15416700077867904</v>
      </c>
      <c r="AD49" s="11">
        <f t="shared" si="43"/>
        <v>-812.35731610311939</v>
      </c>
    </row>
    <row r="50" spans="1:30" x14ac:dyDescent="0.25">
      <c r="G50" t="s">
        <v>91</v>
      </c>
      <c r="I50" s="1"/>
      <c r="J50" s="1"/>
      <c r="O50" s="6">
        <f t="shared" si="15"/>
        <v>53</v>
      </c>
      <c r="P50" s="7">
        <f t="shared" si="30"/>
        <v>8.0181543116490173E-2</v>
      </c>
      <c r="Q50" s="8">
        <f t="shared" si="31"/>
        <v>9.5214672675380694</v>
      </c>
      <c r="R50" s="9">
        <f t="shared" si="32"/>
        <v>0.3066754228053985</v>
      </c>
      <c r="S50" s="9">
        <f t="shared" si="33"/>
        <v>4.0055997350636703E-2</v>
      </c>
      <c r="T50" s="8">
        <f t="shared" si="34"/>
        <v>1.9069593382133951</v>
      </c>
      <c r="U50" s="8">
        <f t="shared" si="44"/>
        <v>1.5323999999999998</v>
      </c>
      <c r="V50" s="8">
        <f t="shared" si="35"/>
        <v>-2.5654749192698313E-2</v>
      </c>
      <c r="W50" s="10">
        <f t="shared" si="36"/>
        <v>1.7631241854398623</v>
      </c>
      <c r="X50" s="8">
        <f t="shared" si="37"/>
        <v>7.6561674428142483</v>
      </c>
      <c r="Y50" s="9">
        <f t="shared" si="38"/>
        <v>0.61388331992307898</v>
      </c>
      <c r="Z50" s="11">
        <f t="shared" si="39"/>
        <v>22.939723793887143</v>
      </c>
      <c r="AA50" s="11">
        <f t="shared" si="40"/>
        <v>-137.7831063309184</v>
      </c>
      <c r="AB50" s="8">
        <f t="shared" si="41"/>
        <v>3.1086068932829778</v>
      </c>
      <c r="AC50" s="9">
        <f t="shared" si="42"/>
        <v>-0.16660571694229553</v>
      </c>
      <c r="AD50" s="11">
        <f t="shared" si="43"/>
        <v>-894.78377045808861</v>
      </c>
    </row>
    <row r="51" spans="1:30" x14ac:dyDescent="0.25">
      <c r="A51" s="1" t="s">
        <v>80</v>
      </c>
      <c r="B51" s="1">
        <f>12*U13</f>
        <v>65.726706900619931</v>
      </c>
      <c r="C51" s="1" t="s">
        <v>83</v>
      </c>
      <c r="G51" t="s">
        <v>75</v>
      </c>
      <c r="I51" s="1"/>
      <c r="J51" s="1"/>
      <c r="O51" s="6">
        <f t="shared" si="15"/>
        <v>54</v>
      </c>
      <c r="P51" s="7">
        <f t="shared" si="30"/>
        <v>8.169440242057488E-2</v>
      </c>
      <c r="Q51" s="8">
        <f t="shared" si="31"/>
        <v>9.8841575479320039</v>
      </c>
      <c r="R51" s="9">
        <f t="shared" si="32"/>
        <v>0.29542224371068754</v>
      </c>
      <c r="S51" s="9">
        <f t="shared" si="33"/>
        <v>3.969654522868666E-2</v>
      </c>
      <c r="T51" s="8">
        <f t="shared" si="34"/>
        <v>1.9618345357447371</v>
      </c>
      <c r="U51" s="8">
        <f t="shared" si="44"/>
        <v>1.4985999999999997</v>
      </c>
      <c r="V51" s="8">
        <f t="shared" si="35"/>
        <v>-3.1728392859228592E-2</v>
      </c>
      <c r="W51" s="10">
        <f t="shared" si="36"/>
        <v>1.7963906795047651</v>
      </c>
      <c r="X51" s="8">
        <f t="shared" si="37"/>
        <v>7.4420139588671566</v>
      </c>
      <c r="Y51" s="9">
        <f t="shared" si="38"/>
        <v>0.60797088317522907</v>
      </c>
      <c r="Z51" s="11">
        <f t="shared" si="39"/>
        <v>23.939723793887143</v>
      </c>
      <c r="AA51" s="11">
        <f t="shared" si="40"/>
        <v>-173.61776572569886</v>
      </c>
      <c r="AB51" s="8">
        <f t="shared" si="41"/>
        <v>3.2270194734115916</v>
      </c>
      <c r="AC51" s="9">
        <f t="shared" si="42"/>
        <v>-0.17926518360296184</v>
      </c>
      <c r="AD51" s="11">
        <f t="shared" si="43"/>
        <v>-980.93908467540723</v>
      </c>
    </row>
    <row r="52" spans="1:30" x14ac:dyDescent="0.25">
      <c r="I52" s="1"/>
      <c r="J52" s="1"/>
      <c r="O52" s="6">
        <f t="shared" si="15"/>
        <v>55</v>
      </c>
      <c r="P52" s="7">
        <f t="shared" si="30"/>
        <v>8.3207261724659601E-2</v>
      </c>
      <c r="Q52" s="8">
        <f t="shared" si="31"/>
        <v>10.2536270859034</v>
      </c>
      <c r="R52" s="9">
        <f t="shared" si="32"/>
        <v>0.28477727691251731</v>
      </c>
      <c r="S52" s="9">
        <f t="shared" si="33"/>
        <v>3.9368887396371843E-2</v>
      </c>
      <c r="T52" s="8">
        <f t="shared" si="34"/>
        <v>2.0183694507465963</v>
      </c>
      <c r="U52" s="8">
        <f t="shared" si="44"/>
        <v>1.4643999999999999</v>
      </c>
      <c r="V52" s="8">
        <f t="shared" si="35"/>
        <v>-3.7943113064835374E-2</v>
      </c>
      <c r="W52" s="10">
        <f t="shared" si="36"/>
        <v>1.8296571735696681</v>
      </c>
      <c r="X52" s="8">
        <f t="shared" si="37"/>
        <v>7.2335617221116033</v>
      </c>
      <c r="Y52" s="9">
        <f t="shared" si="38"/>
        <v>0.60188486341321956</v>
      </c>
      <c r="Z52" s="11">
        <f t="shared" si="39"/>
        <v>24.939723793887143</v>
      </c>
      <c r="AA52" s="11">
        <f t="shared" si="40"/>
        <v>-211.4696168146825</v>
      </c>
      <c r="AB52" s="8">
        <f t="shared" si="41"/>
        <v>3.3476453727949465</v>
      </c>
      <c r="AC52" s="9">
        <f t="shared" si="42"/>
        <v>-0.19214540076067824</v>
      </c>
      <c r="AD52" s="11">
        <f t="shared" si="43"/>
        <v>-1070.8903669061801</v>
      </c>
    </row>
    <row r="53" spans="1:30" x14ac:dyDescent="0.25">
      <c r="A53" s="1" t="s">
        <v>85</v>
      </c>
      <c r="B53" s="1">
        <v>1</v>
      </c>
      <c r="G53" t="s">
        <v>92</v>
      </c>
      <c r="H53" s="1" t="s">
        <v>93</v>
      </c>
      <c r="I53" s="1"/>
      <c r="J53" s="1"/>
      <c r="O53" s="6">
        <f t="shared" si="15"/>
        <v>56</v>
      </c>
      <c r="P53" s="7">
        <f t="shared" si="30"/>
        <v>8.4720121028744322E-2</v>
      </c>
      <c r="Q53" s="8">
        <f t="shared" si="31"/>
        <v>10.629875881452252</v>
      </c>
      <c r="R53" s="9">
        <f t="shared" si="32"/>
        <v>0.27469746896057551</v>
      </c>
      <c r="S53" s="9">
        <f t="shared" si="33"/>
        <v>3.9069708040856195E-2</v>
      </c>
      <c r="T53" s="8">
        <f t="shared" si="34"/>
        <v>2.0765307359943916</v>
      </c>
      <c r="U53" s="8">
        <f t="shared" si="44"/>
        <v>1.4297999999999997</v>
      </c>
      <c r="V53" s="8">
        <f t="shared" si="35"/>
        <v>-4.4296625753040546E-2</v>
      </c>
      <c r="W53" s="10">
        <f t="shared" si="36"/>
        <v>1.8629236676345713</v>
      </c>
      <c r="X53" s="8">
        <f t="shared" si="37"/>
        <v>7.0309578119528648</v>
      </c>
      <c r="Y53" s="9">
        <f t="shared" si="38"/>
        <v>0.59566359677664205</v>
      </c>
      <c r="Z53" s="11">
        <f t="shared" si="39"/>
        <v>25.939723793887143</v>
      </c>
      <c r="AA53" s="11">
        <f t="shared" si="40"/>
        <v>-251.3685856065874</v>
      </c>
      <c r="AB53" s="8">
        <f t="shared" si="41"/>
        <v>3.4704845914330424</v>
      </c>
      <c r="AC53" s="9">
        <f t="shared" si="42"/>
        <v>-0.20524636841544452</v>
      </c>
      <c r="AD53" s="11">
        <f t="shared" si="43"/>
        <v>-1164.7047253015091</v>
      </c>
    </row>
    <row r="54" spans="1:30" x14ac:dyDescent="0.25">
      <c r="A54" s="1" t="s">
        <v>86</v>
      </c>
      <c r="B54" s="1">
        <f>2*((B31/B45)/(F44/F45))</f>
        <v>5.2</v>
      </c>
      <c r="G54" t="s">
        <v>91</v>
      </c>
      <c r="I54" s="1"/>
      <c r="J54" s="1"/>
      <c r="O54" s="6">
        <f t="shared" si="15"/>
        <v>57</v>
      </c>
      <c r="P54" s="7">
        <f t="shared" si="30"/>
        <v>8.6232980332829043E-2</v>
      </c>
      <c r="Q54" s="8">
        <f t="shared" si="31"/>
        <v>11.012903934578562</v>
      </c>
      <c r="R54" s="9">
        <f t="shared" si="32"/>
        <v>0.2651435095907555</v>
      </c>
      <c r="S54" s="9">
        <f t="shared" si="33"/>
        <v>3.8796087866635014E-2</v>
      </c>
      <c r="T54" s="8">
        <f t="shared" si="34"/>
        <v>2.1362879435636017</v>
      </c>
      <c r="U54" s="8">
        <f t="shared" si="44"/>
        <v>1.3947999999999998</v>
      </c>
      <c r="V54" s="8">
        <f t="shared" si="35"/>
        <v>-5.0786845449561774E-2</v>
      </c>
      <c r="W54" s="10">
        <f t="shared" si="36"/>
        <v>1.8961901616994743</v>
      </c>
      <c r="X54" s="8">
        <f t="shared" si="37"/>
        <v>6.8342846964933628</v>
      </c>
      <c r="Y54" s="9">
        <f t="shared" si="38"/>
        <v>0.58934073782166663</v>
      </c>
      <c r="Z54" s="11">
        <f t="shared" si="39"/>
        <v>26.939723793887143</v>
      </c>
      <c r="AA54" s="11">
        <f t="shared" si="40"/>
        <v>-293.3448193166688</v>
      </c>
      <c r="AB54" s="8">
        <f t="shared" si="41"/>
        <v>3.5955371293258787</v>
      </c>
      <c r="AC54" s="9">
        <f t="shared" si="42"/>
        <v>-0.21856808656726087</v>
      </c>
      <c r="AD54" s="11">
        <f t="shared" si="43"/>
        <v>-1262.4492680124988</v>
      </c>
    </row>
    <row r="55" spans="1:30" x14ac:dyDescent="0.25">
      <c r="A55" s="1" t="s">
        <v>87</v>
      </c>
      <c r="B55" s="1">
        <f>4*((B31*B33*B34*B49)/(F48*F47*F49))</f>
        <v>6.2012422360248447</v>
      </c>
      <c r="G55" t="s">
        <v>79</v>
      </c>
      <c r="I55" s="1"/>
      <c r="J55" s="1"/>
      <c r="O55" s="6">
        <f t="shared" si="15"/>
        <v>58</v>
      </c>
      <c r="P55" s="7">
        <f t="shared" si="30"/>
        <v>8.7745839636913764E-2</v>
      </c>
      <c r="Q55" s="8">
        <f t="shared" si="31"/>
        <v>11.402711245282328</v>
      </c>
      <c r="R55" s="9">
        <f t="shared" si="32"/>
        <v>0.25607944787763515</v>
      </c>
      <c r="S55" s="9">
        <f t="shared" si="33"/>
        <v>3.8545450818608315E-2</v>
      </c>
      <c r="T55" s="8">
        <f t="shared" si="34"/>
        <v>2.1976132275191098</v>
      </c>
      <c r="U55" s="8">
        <f t="shared" si="44"/>
        <v>1.3593999999999999</v>
      </c>
      <c r="V55" s="8">
        <f t="shared" si="35"/>
        <v>-5.741186489856917E-2</v>
      </c>
      <c r="W55" s="10">
        <f t="shared" si="36"/>
        <v>1.9294566557643773</v>
      </c>
      <c r="X55" s="8">
        <f t="shared" si="37"/>
        <v>6.6435712240783928</v>
      </c>
      <c r="Y55" s="9">
        <f t="shared" si="38"/>
        <v>0.58294573524439752</v>
      </c>
      <c r="Z55" s="11">
        <f t="shared" si="39"/>
        <v>27.939723793887143</v>
      </c>
      <c r="AA55" s="11">
        <f t="shared" si="40"/>
        <v>-337.42866729719054</v>
      </c>
      <c r="AB55" s="8">
        <f t="shared" si="41"/>
        <v>3.7228029864734546</v>
      </c>
      <c r="AC55" s="9">
        <f t="shared" si="42"/>
        <v>-0.23211055521612714</v>
      </c>
      <c r="AD55" s="11">
        <f t="shared" si="43"/>
        <v>-1364.1911031902514</v>
      </c>
    </row>
    <row r="56" spans="1:30" x14ac:dyDescent="0.25">
      <c r="I56" s="1"/>
      <c r="J56" s="1"/>
      <c r="O56" s="6">
        <f t="shared" si="15"/>
        <v>59</v>
      </c>
      <c r="P56" s="7">
        <f t="shared" si="30"/>
        <v>8.9258698940998485E-2</v>
      </c>
      <c r="Q56" s="8">
        <f t="shared" si="31"/>
        <v>11.799297813563552</v>
      </c>
      <c r="R56" s="9">
        <f t="shared" si="32"/>
        <v>0.24747235353644484</v>
      </c>
      <c r="S56" s="9">
        <f t="shared" si="33"/>
        <v>3.8315518724797298E-2</v>
      </c>
      <c r="T56" s="8">
        <f t="shared" si="34"/>
        <v>2.2604810815752705</v>
      </c>
      <c r="U56" s="8">
        <f t="shared" si="44"/>
        <v>1.3235999999999999</v>
      </c>
      <c r="V56" s="8">
        <f t="shared" si="35"/>
        <v>-6.4169937094196619E-2</v>
      </c>
      <c r="W56" s="10">
        <f t="shared" si="36"/>
        <v>1.9627231498292803</v>
      </c>
      <c r="X56" s="8">
        <f t="shared" si="37"/>
        <v>6.4588021191602447</v>
      </c>
      <c r="Y56" s="9">
        <f t="shared" si="38"/>
        <v>0.57650427387360725</v>
      </c>
      <c r="Z56" s="11">
        <f t="shared" si="39"/>
        <v>28.939723793887143</v>
      </c>
      <c r="AA56" s="11">
        <f t="shared" si="40"/>
        <v>-383.65066390717021</v>
      </c>
      <c r="AB56" s="8">
        <f t="shared" si="41"/>
        <v>3.8522821628757717</v>
      </c>
      <c r="AC56" s="9">
        <f t="shared" si="42"/>
        <v>-0.24587377436204344</v>
      </c>
      <c r="AD56" s="11">
        <f t="shared" si="43"/>
        <v>-1469.9973389858703</v>
      </c>
    </row>
    <row r="57" spans="1:30" x14ac:dyDescent="0.25">
      <c r="A57" s="1" t="s">
        <v>88</v>
      </c>
      <c r="B57" s="1">
        <f>(B29+B30)*B51</f>
        <v>400.93291209378157</v>
      </c>
      <c r="I57" s="1"/>
      <c r="J57" s="1"/>
      <c r="O57" s="6">
        <f t="shared" si="15"/>
        <v>60</v>
      </c>
      <c r="P57" s="7">
        <f t="shared" si="30"/>
        <v>9.0771558245083206E-2</v>
      </c>
      <c r="Q57" s="8">
        <f t="shared" si="31"/>
        <v>12.202663639422228</v>
      </c>
      <c r="R57" s="9">
        <f t="shared" si="32"/>
        <v>0.23929201740565684</v>
      </c>
      <c r="S57" s="9">
        <f t="shared" si="33"/>
        <v>3.8104272571976905E-2</v>
      </c>
      <c r="T57" s="8">
        <f t="shared" si="34"/>
        <v>2.3248681071034816</v>
      </c>
      <c r="U57" s="8">
        <f t="shared" si="44"/>
        <v>1.2873999999999999</v>
      </c>
      <c r="V57" s="8">
        <f t="shared" si="35"/>
        <v>-7.1059459390649435E-2</v>
      </c>
      <c r="W57" s="10">
        <f t="shared" si="36"/>
        <v>1.9959896438941835</v>
      </c>
      <c r="X57" s="8">
        <f t="shared" si="37"/>
        <v>6.2799261409241494</v>
      </c>
      <c r="Y57" s="9">
        <f t="shared" si="38"/>
        <v>0.57003868147571701</v>
      </c>
      <c r="Z57" s="11">
        <f t="shared" si="39"/>
        <v>29.939723793887143</v>
      </c>
      <c r="AA57" s="11">
        <f t="shared" si="40"/>
        <v>-432.04151309514856</v>
      </c>
      <c r="AB57" s="8">
        <f t="shared" si="41"/>
        <v>3.9839746585328295</v>
      </c>
      <c r="AC57" s="9">
        <f t="shared" si="42"/>
        <v>-0.25985774400500955</v>
      </c>
      <c r="AD57" s="11">
        <f t="shared" si="43"/>
        <v>-1579.9350835504581</v>
      </c>
    </row>
    <row r="58" spans="1:30" x14ac:dyDescent="0.25">
      <c r="A58" s="1" t="s">
        <v>90</v>
      </c>
      <c r="B58" s="1">
        <v>90</v>
      </c>
      <c r="I58" s="1"/>
      <c r="J58" s="1"/>
      <c r="O58" s="6">
        <f t="shared" si="15"/>
        <v>61</v>
      </c>
      <c r="P58" s="7">
        <f t="shared" si="30"/>
        <v>9.2284417549167927E-2</v>
      </c>
      <c r="Q58" s="8">
        <f t="shared" si="31"/>
        <v>12.612808722858366</v>
      </c>
      <c r="R58" s="9">
        <f t="shared" si="32"/>
        <v>0.2315106860146102</v>
      </c>
      <c r="S58" s="9">
        <f t="shared" si="33"/>
        <v>3.7909919353770437E-2</v>
      </c>
      <c r="T58" s="8">
        <f t="shared" si="34"/>
        <v>2.3907528075404647</v>
      </c>
      <c r="U58" s="8">
        <f t="shared" si="44"/>
        <v>1.2507999999999999</v>
      </c>
      <c r="V58" s="8">
        <f t="shared" si="35"/>
        <v>-7.8078959420579783E-2</v>
      </c>
      <c r="W58" s="10">
        <f t="shared" si="36"/>
        <v>2.0292561379590865</v>
      </c>
      <c r="X58" s="8">
        <f t="shared" si="37"/>
        <v>6.1068630575069962</v>
      </c>
      <c r="Y58" s="9">
        <f t="shared" si="38"/>
        <v>0.56356830031456395</v>
      </c>
      <c r="Z58" s="11">
        <f t="shared" si="39"/>
        <v>30.939723793887143</v>
      </c>
      <c r="AA58" s="11">
        <f t="shared" si="40"/>
        <v>-482.63207449841053</v>
      </c>
      <c r="AB58" s="8">
        <f t="shared" si="41"/>
        <v>4.117880473444627</v>
      </c>
      <c r="AC58" s="9">
        <f t="shared" si="42"/>
        <v>-0.27406246414502577</v>
      </c>
      <c r="AD58" s="11">
        <f t="shared" si="43"/>
        <v>-1694.0714450351195</v>
      </c>
    </row>
    <row r="59" spans="1:30" x14ac:dyDescent="0.25">
      <c r="A59" s="1" t="s">
        <v>89</v>
      </c>
      <c r="B59" s="1">
        <f>B58*(B55+B54+B53)/B57*penalty</f>
        <v>1.5032449432084312</v>
      </c>
      <c r="I59" s="1"/>
      <c r="J59" s="1"/>
      <c r="O59" s="6">
        <f t="shared" si="15"/>
        <v>62</v>
      </c>
      <c r="P59" s="7">
        <f t="shared" si="30"/>
        <v>9.3797276853252648E-2</v>
      </c>
      <c r="Q59" s="8">
        <f t="shared" si="31"/>
        <v>13.029733063871957</v>
      </c>
      <c r="R59" s="9">
        <f t="shared" si="32"/>
        <v>0.22410282587418434</v>
      </c>
      <c r="S59" s="9">
        <f t="shared" si="33"/>
        <v>3.7730863614303188E-2</v>
      </c>
      <c r="T59" s="8">
        <f t="shared" si="34"/>
        <v>2.4581154058186478</v>
      </c>
      <c r="U59" s="8">
        <f t="shared" si="44"/>
        <v>1.2138</v>
      </c>
      <c r="V59" s="8">
        <f t="shared" si="35"/>
        <v>-8.5227082590318345E-2</v>
      </c>
      <c r="W59" s="10">
        <f t="shared" si="36"/>
        <v>2.0625226320239896</v>
      </c>
      <c r="X59" s="8">
        <f t="shared" si="37"/>
        <v>5.9395095793468773</v>
      </c>
      <c r="Y59" s="9">
        <f t="shared" si="38"/>
        <v>0.55710982438654522</v>
      </c>
      <c r="Z59" s="11">
        <f t="shared" si="39"/>
        <v>31.939723793887143</v>
      </c>
      <c r="AA59" s="11">
        <f t="shared" si="40"/>
        <v>-535.45335088744014</v>
      </c>
      <c r="AB59" s="8">
        <f t="shared" si="41"/>
        <v>4.2539996076111652</v>
      </c>
      <c r="AC59" s="9">
        <f t="shared" si="42"/>
        <v>-0.28848793478209184</v>
      </c>
      <c r="AD59" s="11">
        <f t="shared" si="43"/>
        <v>-1812.4735315909556</v>
      </c>
    </row>
    <row r="60" spans="1:30" x14ac:dyDescent="0.25">
      <c r="I60" s="1"/>
      <c r="J60" s="1"/>
      <c r="O60" s="6">
        <f t="shared" si="15"/>
        <v>63</v>
      </c>
      <c r="P60" s="7">
        <f t="shared" si="30"/>
        <v>9.5310136157337369E-2</v>
      </c>
      <c r="Q60" s="8">
        <f t="shared" si="31"/>
        <v>13.453436662463009</v>
      </c>
      <c r="R60" s="9">
        <f t="shared" si="32"/>
        <v>0.21704491374662749</v>
      </c>
      <c r="S60" s="9">
        <f t="shared" si="33"/>
        <v>3.7565682959943246E-2</v>
      </c>
      <c r="T60" s="8">
        <f t="shared" si="34"/>
        <v>2.5269376819188123</v>
      </c>
      <c r="U60" s="8">
        <f t="shared" si="44"/>
        <v>1.1763999999999997</v>
      </c>
      <c r="V60" s="8">
        <f t="shared" si="35"/>
        <v>-9.2502580953343336E-2</v>
      </c>
      <c r="W60" s="10">
        <f t="shared" si="36"/>
        <v>2.0957891260888926</v>
      </c>
      <c r="X60" s="8">
        <f t="shared" si="37"/>
        <v>5.7777443838320517</v>
      </c>
      <c r="Y60" s="9">
        <f t="shared" si="38"/>
        <v>0.55067760390532416</v>
      </c>
      <c r="Z60" s="11">
        <f t="shared" si="39"/>
        <v>32.93972379388714</v>
      </c>
      <c r="AA60" s="11">
        <f t="shared" si="40"/>
        <v>-590.53647680614381</v>
      </c>
      <c r="AB60" s="8">
        <f t="shared" si="41"/>
        <v>4.3923320610324437</v>
      </c>
      <c r="AC60" s="9">
        <f t="shared" si="42"/>
        <v>-0.30313415591620801</v>
      </c>
      <c r="AD60" s="11">
        <f t="shared" si="43"/>
        <v>-1935.208451369072</v>
      </c>
    </row>
    <row r="61" spans="1:30" x14ac:dyDescent="0.25">
      <c r="I61" s="1"/>
      <c r="J61" s="1"/>
      <c r="O61" s="6">
        <f t="shared" si="15"/>
        <v>64</v>
      </c>
      <c r="P61" s="7">
        <f t="shared" si="30"/>
        <v>9.682299546142209E-2</v>
      </c>
      <c r="Q61" s="8">
        <f t="shared" si="31"/>
        <v>13.883919518631515</v>
      </c>
      <c r="R61" s="9">
        <f t="shared" si="32"/>
        <v>0.21031524967294057</v>
      </c>
      <c r="S61" s="9">
        <f t="shared" si="33"/>
        <v>3.7413106933735472E-2</v>
      </c>
      <c r="T61" s="8">
        <f t="shared" si="34"/>
        <v>2.5972028280496899</v>
      </c>
      <c r="U61" s="8">
        <f t="shared" si="44"/>
        <v>1.1385999999999998</v>
      </c>
      <c r="V61" s="8">
        <f t="shared" si="35"/>
        <v>-9.9904303291074664E-2</v>
      </c>
      <c r="W61" s="10">
        <f t="shared" si="36"/>
        <v>2.129055620153796</v>
      </c>
      <c r="X61" s="8">
        <f t="shared" si="37"/>
        <v>5.6214323511127295</v>
      </c>
      <c r="Y61" s="9">
        <f t="shared" si="38"/>
        <v>0.54428391901847917</v>
      </c>
      <c r="Z61" s="11">
        <f t="shared" si="39"/>
        <v>33.93972379388714</v>
      </c>
      <c r="AA61" s="11">
        <f t="shared" si="40"/>
        <v>-647.91270827704955</v>
      </c>
      <c r="AB61" s="8">
        <f t="shared" si="41"/>
        <v>4.532877833708465</v>
      </c>
      <c r="AC61" s="9">
        <f t="shared" si="42"/>
        <v>-0.31800112754737403</v>
      </c>
      <c r="AD61" s="11">
        <f t="shared" si="43"/>
        <v>-2062.3433125205697</v>
      </c>
    </row>
    <row r="62" spans="1:30" x14ac:dyDescent="0.25">
      <c r="I62" s="1"/>
      <c r="J62" s="1"/>
      <c r="O62" s="6">
        <f t="shared" si="15"/>
        <v>65</v>
      </c>
      <c r="P62" s="7">
        <f t="shared" si="30"/>
        <v>9.8335854765506811E-2</v>
      </c>
      <c r="Q62" s="8">
        <f t="shared" si="31"/>
        <v>14.321181632377479</v>
      </c>
      <c r="R62" s="9">
        <f t="shared" si="32"/>
        <v>0.20389378997878449</v>
      </c>
      <c r="S62" s="9">
        <f t="shared" si="33"/>
        <v>3.7271998747200462E-2</v>
      </c>
      <c r="T62" s="8">
        <f t="shared" si="34"/>
        <v>2.6688953193020182</v>
      </c>
      <c r="U62" s="8">
        <f t="shared" si="44"/>
        <v>1.1003999999999998</v>
      </c>
      <c r="V62" s="8">
        <f t="shared" si="35"/>
        <v>-0.1074311862535629</v>
      </c>
      <c r="W62" s="10">
        <f t="shared" si="36"/>
        <v>2.162322114218699</v>
      </c>
      <c r="X62" s="8">
        <f t="shared" si="37"/>
        <v>5.470428118483964</v>
      </c>
      <c r="Y62" s="9">
        <f t="shared" si="38"/>
        <v>0.53793922496438373</v>
      </c>
      <c r="Z62" s="11">
        <f t="shared" si="39"/>
        <v>34.93972379388714</v>
      </c>
      <c r="AA62" s="11">
        <f t="shared" si="40"/>
        <v>-707.61341345680103</v>
      </c>
      <c r="AB62" s="8">
        <f t="shared" si="41"/>
        <v>4.6756369256392247</v>
      </c>
      <c r="AC62" s="9">
        <f t="shared" si="42"/>
        <v>-0.33308884967559016</v>
      </c>
      <c r="AD62" s="11">
        <f t="shared" si="43"/>
        <v>-2193.9452231965538</v>
      </c>
    </row>
    <row r="63" spans="1:30" x14ac:dyDescent="0.25">
      <c r="I63" s="1"/>
      <c r="J63" s="1"/>
      <c r="O63" s="6">
        <f t="shared" si="15"/>
        <v>66</v>
      </c>
      <c r="P63" s="7">
        <f t="shared" si="30"/>
        <v>9.9848714069591532E-2</v>
      </c>
      <c r="Q63" s="8">
        <f t="shared" si="31"/>
        <v>14.765223003700898</v>
      </c>
      <c r="R63" s="9">
        <f t="shared" si="32"/>
        <v>0.19776199785591472</v>
      </c>
      <c r="S63" s="9">
        <f t="shared" si="33"/>
        <v>3.7141339446461412E-2</v>
      </c>
      <c r="T63" s="8">
        <f t="shared" si="34"/>
        <v>2.7420007979157779</v>
      </c>
      <c r="U63" s="8">
        <f t="shared" si="44"/>
        <v>1.0617999999999999</v>
      </c>
      <c r="V63" s="8">
        <f t="shared" si="35"/>
        <v>-0.11508224643258753</v>
      </c>
      <c r="W63" s="10">
        <f t="shared" si="36"/>
        <v>2.195588608283602</v>
      </c>
      <c r="X63" s="8">
        <f t="shared" si="37"/>
        <v>5.3245790486631526</v>
      </c>
      <c r="Y63" s="9">
        <f t="shared" si="38"/>
        <v>0.53165237097090479</v>
      </c>
      <c r="Z63" s="11">
        <f t="shared" si="39"/>
        <v>35.93972379388714</v>
      </c>
      <c r="AA63" s="11">
        <f t="shared" si="40"/>
        <v>-769.67006414114542</v>
      </c>
      <c r="AB63" s="8">
        <f t="shared" si="41"/>
        <v>4.8206093368247247</v>
      </c>
      <c r="AC63" s="9">
        <f t="shared" si="42"/>
        <v>-0.34839732230085613</v>
      </c>
      <c r="AD63" s="11">
        <f t="shared" si="43"/>
        <v>-2330.081291548126</v>
      </c>
    </row>
    <row r="64" spans="1:30" x14ac:dyDescent="0.25">
      <c r="I64" s="1"/>
      <c r="J64" s="1"/>
      <c r="O64" s="6">
        <f t="shared" si="15"/>
        <v>67</v>
      </c>
      <c r="P64" s="7">
        <f t="shared" si="30"/>
        <v>0.10136157337367625</v>
      </c>
      <c r="Q64" s="8">
        <f t="shared" si="31"/>
        <v>15.216043632601776</v>
      </c>
      <c r="R64" s="9">
        <f t="shared" si="32"/>
        <v>0.1919027094364813</v>
      </c>
      <c r="S64" s="9">
        <f t="shared" si="33"/>
        <v>3.7020214157547235E-2</v>
      </c>
      <c r="T64" s="8">
        <f t="shared" si="34"/>
        <v>2.8165059695475039</v>
      </c>
      <c r="U64" s="8">
        <f t="shared" si="44"/>
        <v>1.0227999999999997</v>
      </c>
      <c r="V64" s="8">
        <f t="shared" si="35"/>
        <v>-0.12285657325667837</v>
      </c>
      <c r="W64" s="10">
        <f t="shared" si="36"/>
        <v>2.228855102348505</v>
      </c>
      <c r="X64" s="8">
        <f t="shared" si="37"/>
        <v>5.1837276958960672</v>
      </c>
      <c r="Y64" s="9">
        <f t="shared" si="38"/>
        <v>0.52543079519672697</v>
      </c>
      <c r="Z64" s="11">
        <f t="shared" si="39"/>
        <v>36.93972379388714</v>
      </c>
      <c r="AA64" s="11">
        <f t="shared" si="40"/>
        <v>-834.11422803067489</v>
      </c>
      <c r="AB64" s="8">
        <f t="shared" si="41"/>
        <v>4.9677950672649649</v>
      </c>
      <c r="AC64" s="9">
        <f t="shared" si="42"/>
        <v>-0.36392654542317221</v>
      </c>
      <c r="AD64" s="11">
        <f t="shared" si="43"/>
        <v>-2470.8186257263906</v>
      </c>
    </row>
    <row r="65" spans="9:30" x14ac:dyDescent="0.25">
      <c r="I65" s="1"/>
      <c r="J65" s="1"/>
      <c r="O65" s="6">
        <f t="shared" si="15"/>
        <v>68</v>
      </c>
      <c r="P65" s="7">
        <f t="shared" si="30"/>
        <v>0.10287443267776097</v>
      </c>
      <c r="Q65" s="8">
        <f t="shared" si="31"/>
        <v>15.673643519080109</v>
      </c>
      <c r="R65" s="9">
        <f t="shared" si="32"/>
        <v>0.18630001355111689</v>
      </c>
      <c r="S65" s="9">
        <f t="shared" si="33"/>
        <v>3.6907800111893513E-2</v>
      </c>
      <c r="T65" s="8">
        <f t="shared" si="34"/>
        <v>2.8923985101364194</v>
      </c>
      <c r="U65" s="8">
        <f t="shared" si="44"/>
        <v>0.98339999999999983</v>
      </c>
      <c r="V65" s="8">
        <f t="shared" si="35"/>
        <v>-0.13075332261208353</v>
      </c>
      <c r="W65" s="10">
        <f t="shared" si="36"/>
        <v>2.262121596413408</v>
      </c>
      <c r="X65" s="8">
        <f t="shared" si="37"/>
        <v>5.0477138433152469</v>
      </c>
      <c r="Y65" s="9">
        <f t="shared" si="38"/>
        <v>0.5192806979507365</v>
      </c>
      <c r="Z65" s="11">
        <f t="shared" si="39"/>
        <v>37.93972379388714</v>
      </c>
      <c r="AA65" s="11">
        <f t="shared" si="40"/>
        <v>-900.97756167899695</v>
      </c>
      <c r="AB65" s="8">
        <f t="shared" si="41"/>
        <v>5.1171941169599453</v>
      </c>
      <c r="AC65" s="9">
        <f t="shared" si="42"/>
        <v>-0.37967651904253813</v>
      </c>
      <c r="AD65" s="11">
        <f t="shared" si="43"/>
        <v>-2616.2243338824492</v>
      </c>
    </row>
    <row r="66" spans="9:30" x14ac:dyDescent="0.25">
      <c r="I66" s="1"/>
      <c r="J66" s="1"/>
      <c r="O66" s="6">
        <f t="shared" si="15"/>
        <v>69</v>
      </c>
      <c r="P66" s="7">
        <f t="shared" si="30"/>
        <v>0.1043872919818457</v>
      </c>
      <c r="Q66" s="8">
        <f t="shared" si="31"/>
        <v>16.138022663135899</v>
      </c>
      <c r="R66" s="9">
        <f t="shared" si="32"/>
        <v>0.18093914359595981</v>
      </c>
      <c r="S66" s="9">
        <f t="shared" si="33"/>
        <v>3.6803356199681378E-2</v>
      </c>
      <c r="T66" s="8">
        <f t="shared" si="34"/>
        <v>2.9696669821496058</v>
      </c>
      <c r="U66" s="8">
        <f t="shared" si="44"/>
        <v>0.94359999999999999</v>
      </c>
      <c r="V66" s="8">
        <f t="shared" si="35"/>
        <v>-0.1387717111061374</v>
      </c>
      <c r="W66" s="10">
        <f t="shared" si="36"/>
        <v>2.295388090478311</v>
      </c>
      <c r="X66" s="8">
        <f t="shared" si="37"/>
        <v>4.9163761754295185</v>
      </c>
      <c r="Y66" s="9">
        <f t="shared" si="38"/>
        <v>0.51320719531715098</v>
      </c>
      <c r="Z66" s="11">
        <f t="shared" si="39"/>
        <v>38.93972379388714</v>
      </c>
      <c r="AA66" s="11">
        <f t="shared" si="40"/>
        <v>-970.29180405411273</v>
      </c>
      <c r="AB66" s="8">
        <f t="shared" si="41"/>
        <v>5.2688064859096668</v>
      </c>
      <c r="AC66" s="9">
        <f t="shared" si="42"/>
        <v>-0.39564724315895394</v>
      </c>
      <c r="AD66" s="11">
        <f t="shared" si="43"/>
        <v>-2766.365524167406</v>
      </c>
    </row>
    <row r="67" spans="9:30" x14ac:dyDescent="0.25">
      <c r="I67" s="1"/>
      <c r="J67" s="1"/>
      <c r="O67" s="6">
        <f t="shared" si="15"/>
        <v>70</v>
      </c>
      <c r="P67" s="7">
        <f t="shared" si="13"/>
        <v>0.1059001512859304</v>
      </c>
      <c r="Q67" s="8">
        <f t="shared" si="14"/>
        <v>16.609181064769146</v>
      </c>
      <c r="R67" s="9">
        <f t="shared" si="4"/>
        <v>0.17580638013476829</v>
      </c>
      <c r="S67" s="9">
        <f t="shared" si="5"/>
        <v>3.670621383745435E-2</v>
      </c>
      <c r="T67" s="8">
        <f t="shared" si="6"/>
        <v>3.0483007591420703</v>
      </c>
      <c r="U67" s="8">
        <f t="shared" si="44"/>
        <v>0.90339999999999976</v>
      </c>
      <c r="V67" s="8">
        <f t="shared" si="7"/>
        <v>-0.14691101090014183</v>
      </c>
      <c r="W67" s="10">
        <f t="shared" si="8"/>
        <v>2.3286545845432141</v>
      </c>
      <c r="X67" s="8">
        <f t="shared" si="9"/>
        <v>4.7895536410616852</v>
      </c>
      <c r="Y67" s="9">
        <f t="shared" si="10"/>
        <v>0.50721445518051123</v>
      </c>
      <c r="Z67" s="11">
        <f t="shared" si="11"/>
        <v>39.93972379388714</v>
      </c>
      <c r="AA67" s="11">
        <f t="shared" si="12"/>
        <v>-1042.0887706516728</v>
      </c>
      <c r="AB67" s="8">
        <f t="shared" si="1"/>
        <v>5.4226321741141286</v>
      </c>
      <c r="AC67" s="9">
        <f t="shared" si="2"/>
        <v>-0.41183871777241987</v>
      </c>
      <c r="AD67" s="11">
        <f t="shared" si="3"/>
        <v>-2921.309304732365</v>
      </c>
    </row>
    <row r="68" spans="9:30" x14ac:dyDescent="0.25">
      <c r="I68" s="1"/>
      <c r="J68" s="1"/>
      <c r="O68" s="6">
        <f t="shared" si="15"/>
        <v>71</v>
      </c>
      <c r="P68" s="7">
        <f t="shared" si="13"/>
        <v>0.10741301059001512</v>
      </c>
      <c r="Q68" s="8">
        <f t="shared" si="14"/>
        <v>17.087118723979849</v>
      </c>
      <c r="R68" s="9">
        <f t="shared" si="4"/>
        <v>0.17088896303518442</v>
      </c>
      <c r="S68" s="9">
        <f t="shared" si="5"/>
        <v>3.6615768968835352E-2</v>
      </c>
      <c r="T68" s="8">
        <f t="shared" si="6"/>
        <v>3.1282899577015346</v>
      </c>
      <c r="U68" s="8">
        <f t="shared" si="44"/>
        <v>0.86280000000000001</v>
      </c>
      <c r="V68" s="8">
        <f t="shared" si="7"/>
        <v>-0.15517054504805031</v>
      </c>
      <c r="W68" s="10">
        <f t="shared" si="8"/>
        <v>2.3619210786081171</v>
      </c>
      <c r="X68" s="8">
        <f t="shared" si="9"/>
        <v>4.66708655444687</v>
      </c>
      <c r="Y68" s="9">
        <f t="shared" si="10"/>
        <v>0.50130581749731884</v>
      </c>
      <c r="Z68" s="11">
        <f t="shared" si="11"/>
        <v>40.93972379388714</v>
      </c>
      <c r="AA68" s="11">
        <f t="shared" si="12"/>
        <v>-1116.4003481057059</v>
      </c>
      <c r="AB68" s="8">
        <f t="shared" si="1"/>
        <v>5.5786711815733314</v>
      </c>
      <c r="AC68" s="9">
        <f t="shared" si="2"/>
        <v>-0.42825094288293564</v>
      </c>
      <c r="AD68" s="11">
        <f t="shared" si="3"/>
        <v>-3081.1227837284273</v>
      </c>
    </row>
    <row r="69" spans="9:30" x14ac:dyDescent="0.25">
      <c r="I69" s="1"/>
      <c r="J69" s="1"/>
    </row>
    <row r="70" spans="9:30" x14ac:dyDescent="0.25">
      <c r="I70" s="1"/>
      <c r="J70" s="1"/>
    </row>
    <row r="71" spans="9:30" ht="15.75" thickBot="1" x14ac:dyDescent="0.3">
      <c r="I71" s="1"/>
      <c r="J71" s="1"/>
    </row>
    <row r="72" spans="9:30" x14ac:dyDescent="0.25">
      <c r="I72" s="1"/>
      <c r="J72" s="1"/>
      <c r="O72" s="23"/>
      <c r="P72" s="24" t="s">
        <v>20</v>
      </c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5"/>
    </row>
    <row r="73" spans="9:30" x14ac:dyDescent="0.25">
      <c r="I73" s="1"/>
      <c r="J73" s="1"/>
      <c r="O73" s="26" t="s">
        <v>26</v>
      </c>
      <c r="P73" s="21" t="s">
        <v>27</v>
      </c>
      <c r="Q73" s="21" t="s">
        <v>4</v>
      </c>
      <c r="R73" s="21" t="s">
        <v>5</v>
      </c>
      <c r="S73" s="21" t="s">
        <v>6</v>
      </c>
      <c r="T73" s="21" t="s">
        <v>10</v>
      </c>
      <c r="U73" s="21" t="s">
        <v>30</v>
      </c>
      <c r="V73" s="21" t="s">
        <v>21</v>
      </c>
      <c r="W73" s="21" t="s">
        <v>0</v>
      </c>
      <c r="X73" s="21" t="s">
        <v>13</v>
      </c>
      <c r="Y73" s="21" t="s">
        <v>22</v>
      </c>
      <c r="Z73" s="21" t="s">
        <v>1</v>
      </c>
      <c r="AA73" s="27" t="s">
        <v>28</v>
      </c>
    </row>
    <row r="74" spans="9:30" x14ac:dyDescent="0.25">
      <c r="I74" s="1"/>
      <c r="J74" s="1"/>
      <c r="O74" s="12">
        <v>0</v>
      </c>
      <c r="P74" s="11">
        <v>0.1</v>
      </c>
      <c r="Q74" s="7">
        <f t="shared" ref="Q74:Q79" si="45">Z74/661</f>
        <v>2.2782466756907396E-2</v>
      </c>
      <c r="R74" s="8">
        <f t="shared" ref="R74" si="46">1481*Q74^2</f>
        <v>0.76869941225532368</v>
      </c>
      <c r="S74" s="6">
        <f>$U$11</f>
        <v>0</v>
      </c>
      <c r="T74" s="7">
        <f t="shared" ref="T74:T99" si="47">IF(S74&lt;$P$8,S74^2/(PI()*$P$12)+$P$11,99.999)</f>
        <v>3.5066499701760935E-2</v>
      </c>
      <c r="U74" s="22">
        <f>S74*R74*$P$13</f>
        <v>0</v>
      </c>
      <c r="V74" s="8">
        <f>IF(T74="","",R74*T74*$P$13+$U$12*($P$10-U74))</f>
        <v>0.86477798855297561</v>
      </c>
      <c r="W74" s="8">
        <f t="shared" ref="W74:W105" si="48">$P$9*($G$34*Z74^2+$G$35*Z74+$G$36)</f>
        <v>2.519309825138504</v>
      </c>
      <c r="X74" s="9">
        <f>IF(T74="","",(W74-V74)/$P$10)</f>
        <v>0.11332409839626907</v>
      </c>
      <c r="Y74" s="10">
        <f>Q74/$U$9</f>
        <v>0.5009671375958098</v>
      </c>
      <c r="Z74" s="8">
        <f>P74*3600/6080+$P$14</f>
        <v>15.059210526315789</v>
      </c>
      <c r="AA74" s="13">
        <v>0</v>
      </c>
    </row>
    <row r="75" spans="9:30" x14ac:dyDescent="0.25">
      <c r="I75" s="1"/>
      <c r="J75" s="1"/>
      <c r="O75" s="12">
        <f>O74+0.5</f>
        <v>0.5</v>
      </c>
      <c r="P75" s="11">
        <f>P74+32.2*X74*(O75-O74)</f>
        <v>1.9245179841799323</v>
      </c>
      <c r="Q75" s="7">
        <f t="shared" si="45"/>
        <v>2.4416818801021121E-2</v>
      </c>
      <c r="R75" s="8">
        <f t="shared" ref="R75:R79" si="49">1481*Q75^2</f>
        <v>0.88294412077597162</v>
      </c>
      <c r="S75" s="6">
        <f t="shared" ref="S75:S134" si="50">$U$11</f>
        <v>0</v>
      </c>
      <c r="T75" s="7">
        <f t="shared" si="47"/>
        <v>3.5066499701760935E-2</v>
      </c>
      <c r="U75" s="22">
        <f t="shared" ref="U75:U89" si="51">S75*R75*$P$13</f>
        <v>0</v>
      </c>
      <c r="V75" s="8">
        <f t="shared" ref="V75:V99" si="52">IF(T75="","",R75*T75*$P$13+$U$12*($P$10-U75))</f>
        <v>0.88480879873931095</v>
      </c>
      <c r="W75" s="8">
        <f t="shared" si="48"/>
        <v>2.4991731831121182</v>
      </c>
      <c r="X75" s="9">
        <f>IF(T75="","",(W75-V75)/$P$10)</f>
        <v>0.11057290303923338</v>
      </c>
      <c r="Y75" s="10">
        <f t="shared" ref="Y75:Y89" si="53">Q75/$U$9</f>
        <v>0.5369051540581965</v>
      </c>
      <c r="Z75" s="8">
        <f t="shared" ref="Z75:Z99" si="54">P75*3600/6080+$P$14</f>
        <v>16.139517227474961</v>
      </c>
      <c r="AA75" s="13">
        <f>AA74+(P75+P74)/2*(O75-O74)</f>
        <v>0.50612949604498303</v>
      </c>
    </row>
    <row r="76" spans="9:30" x14ac:dyDescent="0.25">
      <c r="I76" s="1"/>
      <c r="J76" s="1"/>
      <c r="O76" s="12">
        <f t="shared" ref="O76:O89" si="55">O75+0.5</f>
        <v>1</v>
      </c>
      <c r="P76" s="11">
        <f t="shared" ref="P76:P89" si="56">P75+32.2*X75*(O76-O75)</f>
        <v>3.7047417231115896</v>
      </c>
      <c r="Q76" s="7">
        <f t="shared" si="45"/>
        <v>2.6011493302413043E-2</v>
      </c>
      <c r="R76" s="8">
        <f t="shared" si="49"/>
        <v>1.0020413178396097</v>
      </c>
      <c r="S76" s="6">
        <f t="shared" si="50"/>
        <v>0</v>
      </c>
      <c r="T76" s="7">
        <f t="shared" si="47"/>
        <v>3.5066499701760935E-2</v>
      </c>
      <c r="U76" s="22">
        <f t="shared" si="51"/>
        <v>0</v>
      </c>
      <c r="V76" s="8">
        <f t="shared" si="52"/>
        <v>0.90569040786587407</v>
      </c>
      <c r="W76" s="8">
        <f t="shared" si="48"/>
        <v>2.4790754402350887</v>
      </c>
      <c r="X76" s="9">
        <f t="shared" ref="X76:X89" si="57">IF(T76="","",(W76-V76)/$P$10)</f>
        <v>0.10776609810748046</v>
      </c>
      <c r="Y76" s="10">
        <f t="shared" si="53"/>
        <v>0.5719706949797968</v>
      </c>
      <c r="Z76" s="8">
        <f t="shared" si="54"/>
        <v>17.19359707289502</v>
      </c>
      <c r="AA76" s="13">
        <f t="shared" ref="AA76:AA89" si="58">AA75+(P76+P75)/2*(O76-O75)</f>
        <v>1.9134444228678635</v>
      </c>
    </row>
    <row r="77" spans="9:30" x14ac:dyDescent="0.25">
      <c r="I77" s="1"/>
      <c r="J77" s="1"/>
      <c r="O77" s="12">
        <f t="shared" si="55"/>
        <v>1.5</v>
      </c>
      <c r="P77" s="11">
        <f t="shared" si="56"/>
        <v>5.4397759026420252</v>
      </c>
      <c r="Q77" s="7">
        <f t="shared" si="45"/>
        <v>2.7565688263772814E-2</v>
      </c>
      <c r="R77" s="8">
        <f t="shared" si="49"/>
        <v>1.1253632779635989</v>
      </c>
      <c r="S77" s="6">
        <f t="shared" si="50"/>
        <v>0</v>
      </c>
      <c r="T77" s="7">
        <f t="shared" si="47"/>
        <v>3.5066499701760935E-2</v>
      </c>
      <c r="U77" s="22">
        <f t="shared" si="51"/>
        <v>0</v>
      </c>
      <c r="V77" s="8">
        <f t="shared" si="52"/>
        <v>0.92731275525541623</v>
      </c>
      <c r="W77" s="8">
        <f t="shared" si="48"/>
        <v>2.4590602080056789</v>
      </c>
      <c r="X77" s="9">
        <f t="shared" si="57"/>
        <v>0.10491420909248375</v>
      </c>
      <c r="Y77" s="10">
        <f t="shared" si="53"/>
        <v>0.60614612511938748</v>
      </c>
      <c r="Z77" s="8">
        <f t="shared" si="54"/>
        <v>18.220919942353831</v>
      </c>
      <c r="AA77" s="13">
        <f t="shared" si="58"/>
        <v>4.1995738293062672</v>
      </c>
    </row>
    <row r="78" spans="9:30" x14ac:dyDescent="0.25">
      <c r="I78" s="1"/>
      <c r="J78" s="1"/>
      <c r="O78" s="12">
        <f t="shared" si="55"/>
        <v>2</v>
      </c>
      <c r="P78" s="11">
        <f t="shared" si="56"/>
        <v>7.1288946690310135</v>
      </c>
      <c r="Q78" s="7">
        <f t="shared" si="45"/>
        <v>2.9078753485675523E-2</v>
      </c>
      <c r="R78" s="8">
        <f t="shared" si="49"/>
        <v>1.2522949522396967</v>
      </c>
      <c r="S78" s="6">
        <f t="shared" si="50"/>
        <v>0</v>
      </c>
      <c r="T78" s="7">
        <f t="shared" si="47"/>
        <v>3.5066499701760935E-2</v>
      </c>
      <c r="U78" s="22">
        <f t="shared" si="51"/>
        <v>0</v>
      </c>
      <c r="V78" s="8">
        <f t="shared" si="52"/>
        <v>0.94956800284615017</v>
      </c>
      <c r="W78" s="8">
        <f t="shared" si="48"/>
        <v>2.4391691057635647</v>
      </c>
      <c r="X78" s="9">
        <f t="shared" si="57"/>
        <v>0.10202747280256265</v>
      </c>
      <c r="Y78" s="10">
        <f t="shared" si="53"/>
        <v>0.63941714714260856</v>
      </c>
      <c r="Z78" s="8">
        <f t="shared" si="54"/>
        <v>19.221056054031521</v>
      </c>
      <c r="AA78" s="13">
        <f t="shared" si="58"/>
        <v>7.3417414722245269</v>
      </c>
    </row>
    <row r="79" spans="9:30" x14ac:dyDescent="0.25">
      <c r="I79" s="1"/>
      <c r="J79" s="1"/>
      <c r="O79" s="12">
        <f t="shared" si="55"/>
        <v>2.5</v>
      </c>
      <c r="P79" s="11">
        <f t="shared" si="56"/>
        <v>8.7715369811522717</v>
      </c>
      <c r="Q79" s="7">
        <f t="shared" si="45"/>
        <v>3.0550186403213879E-2</v>
      </c>
      <c r="R79" s="8">
        <f t="shared" si="49"/>
        <v>1.38223787001052</v>
      </c>
      <c r="S79" s="6">
        <f t="shared" si="50"/>
        <v>0</v>
      </c>
      <c r="T79" s="7">
        <f t="shared" si="47"/>
        <v>3.5066499701760935E-2</v>
      </c>
      <c r="U79" s="22">
        <f t="shared" si="51"/>
        <v>0</v>
      </c>
      <c r="V79" s="8">
        <f t="shared" si="52"/>
        <v>0.97235121928243284</v>
      </c>
      <c r="W79" s="8">
        <f t="shared" si="48"/>
        <v>2.4194415646018528</v>
      </c>
      <c r="X79" s="9">
        <f t="shared" si="57"/>
        <v>9.9115777076672601E-2</v>
      </c>
      <c r="Y79" s="10">
        <f t="shared" si="53"/>
        <v>0.67177271007303396</v>
      </c>
      <c r="Z79" s="8">
        <f t="shared" si="54"/>
        <v>20.193673212524374</v>
      </c>
      <c r="AA79" s="13">
        <f t="shared" si="58"/>
        <v>11.316849384770348</v>
      </c>
    </row>
    <row r="80" spans="9:30" x14ac:dyDescent="0.25">
      <c r="I80" s="1"/>
      <c r="J80" s="1"/>
      <c r="O80" s="12">
        <f t="shared" si="55"/>
        <v>3</v>
      </c>
      <c r="P80" s="11">
        <f t="shared" si="56"/>
        <v>10.367300992086701</v>
      </c>
      <c r="Q80" s="7">
        <f t="shared" ref="Q80:Q89" si="59">Z80/661</f>
        <v>3.1979627053186986E-2</v>
      </c>
      <c r="R80" s="8">
        <f t="shared" ref="R80:R89" si="60">1481*Q80^2</f>
        <v>1.514613585308636</v>
      </c>
      <c r="S80" s="6">
        <f t="shared" si="50"/>
        <v>0</v>
      </c>
      <c r="T80" s="7">
        <f t="shared" si="47"/>
        <v>3.5066499701760935E-2</v>
      </c>
      <c r="U80" s="22">
        <f t="shared" si="51"/>
        <v>0</v>
      </c>
      <c r="V80" s="8">
        <f t="shared" si="52"/>
        <v>0.99556098418754169</v>
      </c>
      <c r="W80" s="8">
        <f t="shared" si="48"/>
        <v>2.3999146652660071</v>
      </c>
      <c r="X80" s="9">
        <f t="shared" si="57"/>
        <v>9.6188608293045569E-2</v>
      </c>
      <c r="Y80" s="10">
        <f t="shared" si="53"/>
        <v>0.70320489862491709</v>
      </c>
      <c r="Z80" s="8">
        <f t="shared" si="54"/>
        <v>21.1385334821566</v>
      </c>
      <c r="AA80" s="13">
        <f t="shared" si="58"/>
        <v>16.101558878080091</v>
      </c>
    </row>
    <row r="81" spans="9:27" x14ac:dyDescent="0.25">
      <c r="I81" s="1"/>
      <c r="J81" s="1"/>
      <c r="O81" s="12">
        <f t="shared" si="55"/>
        <v>3.5</v>
      </c>
      <c r="P81" s="11">
        <f t="shared" si="56"/>
        <v>11.915937585604734</v>
      </c>
      <c r="Q81" s="7">
        <f t="shared" si="59"/>
        <v>3.336685228426254E-2</v>
      </c>
      <c r="R81" s="8">
        <f t="shared" si="60"/>
        <v>1.6488666572438582</v>
      </c>
      <c r="S81" s="6">
        <f t="shared" si="50"/>
        <v>0</v>
      </c>
      <c r="T81" s="7">
        <f t="shared" si="47"/>
        <v>3.5066499701760935E-2</v>
      </c>
      <c r="U81" s="22">
        <f t="shared" si="51"/>
        <v>0</v>
      </c>
      <c r="V81" s="8">
        <f t="shared" si="52"/>
        <v>1.0190999107224266</v>
      </c>
      <c r="W81" s="8">
        <f t="shared" si="48"/>
        <v>2.3806230097563597</v>
      </c>
      <c r="X81" s="9">
        <f t="shared" si="57"/>
        <v>9.3255006783146105E-2</v>
      </c>
      <c r="Y81" s="10">
        <f t="shared" si="53"/>
        <v>0.733708805889564</v>
      </c>
      <c r="Z81" s="8">
        <f t="shared" si="54"/>
        <v>22.055489359897539</v>
      </c>
      <c r="AA81" s="13">
        <f t="shared" si="58"/>
        <v>21.67236852250295</v>
      </c>
    </row>
    <row r="82" spans="9:27" x14ac:dyDescent="0.25">
      <c r="I82" s="1"/>
      <c r="J82" s="1"/>
      <c r="O82" s="12">
        <f t="shared" si="55"/>
        <v>4</v>
      </c>
      <c r="P82" s="11">
        <f t="shared" si="56"/>
        <v>13.417343194813387</v>
      </c>
      <c r="Q82" s="7">
        <f t="shared" si="59"/>
        <v>3.4711769324122191E-2</v>
      </c>
      <c r="R82" s="8">
        <f t="shared" si="60"/>
        <v>1.7844671627539952</v>
      </c>
      <c r="S82" s="6">
        <f t="shared" si="50"/>
        <v>0</v>
      </c>
      <c r="T82" s="7">
        <f t="shared" si="47"/>
        <v>3.5066499701760935E-2</v>
      </c>
      <c r="U82" s="22">
        <f t="shared" si="51"/>
        <v>0</v>
      </c>
      <c r="V82" s="8">
        <f t="shared" si="52"/>
        <v>1.0428750861525757</v>
      </c>
      <c r="W82" s="8">
        <f t="shared" si="48"/>
        <v>2.3615986257932451</v>
      </c>
      <c r="X82" s="9">
        <f t="shared" si="57"/>
        <v>9.0323530112374609E-2</v>
      </c>
      <c r="Y82" s="10">
        <f t="shared" si="53"/>
        <v>0.76328239188231184</v>
      </c>
      <c r="Z82" s="8">
        <f t="shared" si="54"/>
        <v>22.94447952324477</v>
      </c>
      <c r="AA82" s="13">
        <f t="shared" si="58"/>
        <v>28.00568871760748</v>
      </c>
    </row>
    <row r="83" spans="9:27" x14ac:dyDescent="0.25">
      <c r="I83" s="1"/>
      <c r="J83" s="1"/>
      <c r="O83" s="12">
        <f t="shared" si="55"/>
        <v>4.5</v>
      </c>
      <c r="P83" s="11">
        <f t="shared" si="56"/>
        <v>14.871552029622618</v>
      </c>
      <c r="Q83" s="7">
        <f t="shared" si="59"/>
        <v>3.6014408817043916E-2</v>
      </c>
      <c r="R83" s="8">
        <f t="shared" si="60"/>
        <v>1.9209127484553736</v>
      </c>
      <c r="S83" s="6">
        <f t="shared" si="50"/>
        <v>0</v>
      </c>
      <c r="T83" s="7">
        <f t="shared" si="47"/>
        <v>3.5066499701760935E-2</v>
      </c>
      <c r="U83" s="22">
        <f t="shared" si="51"/>
        <v>0</v>
      </c>
      <c r="V83" s="8">
        <f t="shared" si="52"/>
        <v>1.0667984316040957</v>
      </c>
      <c r="W83" s="8">
        <f t="shared" si="48"/>
        <v>2.3428709028173733</v>
      </c>
      <c r="X83" s="9">
        <f t="shared" si="57"/>
        <v>8.7402224055703942E-2</v>
      </c>
      <c r="Y83" s="10">
        <f t="shared" si="53"/>
        <v>0.79192633044486449</v>
      </c>
      <c r="Z83" s="8">
        <f t="shared" si="54"/>
        <v>23.805524228066027</v>
      </c>
      <c r="AA83" s="13">
        <f t="shared" si="58"/>
        <v>35.077912523716478</v>
      </c>
    </row>
    <row r="84" spans="9:27" x14ac:dyDescent="0.25">
      <c r="I84" s="1"/>
      <c r="J84" s="1"/>
      <c r="O84" s="12">
        <f t="shared" si="55"/>
        <v>5</v>
      </c>
      <c r="P84" s="11">
        <f t="shared" si="56"/>
        <v>16.278727836919451</v>
      </c>
      <c r="Q84" s="7">
        <f t="shared" si="59"/>
        <v>3.7274917442897036E-2</v>
      </c>
      <c r="R84" s="8">
        <f t="shared" si="60"/>
        <v>2.0577302356250637</v>
      </c>
      <c r="S84" s="6">
        <f t="shared" si="50"/>
        <v>0</v>
      </c>
      <c r="T84" s="7">
        <f t="shared" si="47"/>
        <v>3.5066499701760935E-2</v>
      </c>
      <c r="U84" s="22">
        <f t="shared" si="51"/>
        <v>0</v>
      </c>
      <c r="V84" s="8">
        <f t="shared" si="52"/>
        <v>1.0907869834692536</v>
      </c>
      <c r="W84" s="8">
        <f t="shared" si="48"/>
        <v>2.3244665577879138</v>
      </c>
      <c r="X84" s="9">
        <f t="shared" si="57"/>
        <v>8.4498600980730143E-2</v>
      </c>
      <c r="Y84" s="10">
        <f t="shared" si="53"/>
        <v>0.81964384694324843</v>
      </c>
      <c r="Z84" s="8">
        <f t="shared" si="54"/>
        <v>24.63872042975494</v>
      </c>
      <c r="AA84" s="13">
        <f t="shared" si="58"/>
        <v>42.865482490351994</v>
      </c>
    </row>
    <row r="85" spans="9:27" x14ac:dyDescent="0.25">
      <c r="I85" s="1"/>
      <c r="J85" s="1"/>
      <c r="O85" s="12">
        <f t="shared" si="55"/>
        <v>5.5</v>
      </c>
      <c r="P85" s="11">
        <f t="shared" si="56"/>
        <v>17.639155312709207</v>
      </c>
      <c r="Q85" s="7">
        <f t="shared" si="59"/>
        <v>3.8493550224379218E-2</v>
      </c>
      <c r="R85" s="8">
        <f t="shared" si="60"/>
        <v>2.1944767985465488</v>
      </c>
      <c r="S85" s="6">
        <f t="shared" si="50"/>
        <v>0</v>
      </c>
      <c r="T85" s="7">
        <f t="shared" si="47"/>
        <v>3.5066499701760935E-2</v>
      </c>
      <c r="U85" s="22">
        <f t="shared" si="51"/>
        <v>0</v>
      </c>
      <c r="V85" s="8">
        <f t="shared" si="52"/>
        <v>1.1147631000087692</v>
      </c>
      <c r="W85" s="8">
        <f t="shared" si="48"/>
        <v>2.3064096287089253</v>
      </c>
      <c r="X85" s="9">
        <f t="shared" si="57"/>
        <v>8.1619625253435343E-2</v>
      </c>
      <c r="Y85" s="10">
        <f t="shared" si="53"/>
        <v>0.84644054911047328</v>
      </c>
      <c r="Z85" s="8">
        <f t="shared" si="54"/>
        <v>25.444236698314661</v>
      </c>
      <c r="AA85" s="13">
        <f t="shared" si="58"/>
        <v>51.34495327775916</v>
      </c>
    </row>
    <row r="86" spans="9:27" x14ac:dyDescent="0.25">
      <c r="I86" s="1"/>
      <c r="J86" s="1"/>
      <c r="O86" s="12">
        <f t="shared" si="55"/>
        <v>6</v>
      </c>
      <c r="P86" s="11">
        <f t="shared" si="56"/>
        <v>18.953231279289515</v>
      </c>
      <c r="Q86" s="7">
        <f t="shared" si="59"/>
        <v>3.9670662623776339E-2</v>
      </c>
      <c r="R86" s="8">
        <f t="shared" si="60"/>
        <v>2.3307407415270474</v>
      </c>
      <c r="S86" s="6">
        <f t="shared" si="50"/>
        <v>0</v>
      </c>
      <c r="T86" s="7">
        <f t="shared" si="47"/>
        <v>3.5066499701760935E-2</v>
      </c>
      <c r="U86" s="22">
        <f t="shared" si="51"/>
        <v>0</v>
      </c>
      <c r="V86" s="8">
        <f t="shared" si="52"/>
        <v>1.1386545975882014</v>
      </c>
      <c r="W86" s="8">
        <f t="shared" si="48"/>
        <v>2.2887214935607241</v>
      </c>
      <c r="X86" s="9">
        <f t="shared" si="57"/>
        <v>7.8771705203597442E-2</v>
      </c>
      <c r="Y86" s="10">
        <f t="shared" si="53"/>
        <v>0.87232425326097851</v>
      </c>
      <c r="Z86" s="8">
        <f t="shared" si="54"/>
        <v>26.222307994316161</v>
      </c>
      <c r="AA86" s="13">
        <f t="shared" si="58"/>
        <v>60.493049925758839</v>
      </c>
    </row>
    <row r="87" spans="9:27" x14ac:dyDescent="0.25">
      <c r="I87" s="1"/>
      <c r="J87" s="1"/>
      <c r="O87" s="12">
        <f t="shared" si="55"/>
        <v>6.5</v>
      </c>
      <c r="P87" s="11">
        <f t="shared" si="56"/>
        <v>20.221455733067433</v>
      </c>
      <c r="Q87" s="7">
        <f t="shared" si="59"/>
        <v>4.0806702523848132E-2</v>
      </c>
      <c r="R87" s="8">
        <f t="shared" si="60"/>
        <v>2.4661419038582233</v>
      </c>
      <c r="S87" s="6">
        <f t="shared" si="50"/>
        <v>0</v>
      </c>
      <c r="T87" s="7">
        <f t="shared" si="47"/>
        <v>3.5066499701760935E-2</v>
      </c>
      <c r="U87" s="22">
        <f>S87*R87*$P$13</f>
        <v>0</v>
      </c>
      <c r="V87" s="8">
        <f t="shared" si="52"/>
        <v>1.1623948216807227</v>
      </c>
      <c r="W87" s="8">
        <f t="shared" si="48"/>
        <v>2.2714209121336473</v>
      </c>
      <c r="X87" s="9">
        <f t="shared" si="57"/>
        <v>7.5960691126912644E-2</v>
      </c>
      <c r="Y87" s="10">
        <f t="shared" si="53"/>
        <v>0.89730480795710454</v>
      </c>
      <c r="Z87" s="8">
        <f t="shared" si="54"/>
        <v>26.973230368263614</v>
      </c>
      <c r="AA87" s="13">
        <f t="shared" si="58"/>
        <v>70.286721678848082</v>
      </c>
    </row>
    <row r="88" spans="9:27" x14ac:dyDescent="0.25">
      <c r="I88" s="1"/>
      <c r="J88" s="1"/>
      <c r="O88" s="12">
        <f t="shared" si="55"/>
        <v>7</v>
      </c>
      <c r="P88" s="11">
        <f t="shared" si="56"/>
        <v>21.444422860210725</v>
      </c>
      <c r="Q88" s="7">
        <f t="shared" si="59"/>
        <v>4.1902202179900525E-2</v>
      </c>
      <c r="R88" s="8">
        <f t="shared" si="60"/>
        <v>2.6003317248849105</v>
      </c>
      <c r="S88" s="6">
        <f t="shared" si="50"/>
        <v>0</v>
      </c>
      <c r="T88" s="7">
        <f t="shared" si="47"/>
        <v>3.5066499701760935E-2</v>
      </c>
      <c r="U88" s="22">
        <f t="shared" si="51"/>
        <v>0</v>
      </c>
      <c r="V88" s="8">
        <f t="shared" si="52"/>
        <v>1.1859226582757811</v>
      </c>
      <c r="W88" s="8">
        <f t="shared" si="48"/>
        <v>2.2545240881528064</v>
      </c>
      <c r="X88" s="9">
        <f t="shared" si="57"/>
        <v>7.3191878758700354E-2</v>
      </c>
      <c r="Y88" s="10">
        <f t="shared" si="53"/>
        <v>0.92139391704198303</v>
      </c>
      <c r="Z88" s="8">
        <f t="shared" si="54"/>
        <v>27.697355640914246</v>
      </c>
      <c r="AA88" s="13">
        <f t="shared" si="58"/>
        <v>80.703191327167616</v>
      </c>
    </row>
    <row r="89" spans="9:27" x14ac:dyDescent="0.25">
      <c r="I89" s="1"/>
      <c r="J89" s="1"/>
      <c r="O89" s="12">
        <f t="shared" si="55"/>
        <v>7.5</v>
      </c>
      <c r="P89" s="11">
        <f t="shared" si="56"/>
        <v>22.622812108225801</v>
      </c>
      <c r="Q89" s="7">
        <f t="shared" si="59"/>
        <v>4.2957770221955585E-2</v>
      </c>
      <c r="R89" s="8">
        <f t="shared" si="60"/>
        <v>2.7329930032370968</v>
      </c>
      <c r="S89" s="6">
        <f t="shared" si="50"/>
        <v>0</v>
      </c>
      <c r="T89" s="7">
        <f t="shared" si="47"/>
        <v>3.5066499701760935E-2</v>
      </c>
      <c r="U89" s="22">
        <f t="shared" si="51"/>
        <v>0</v>
      </c>
      <c r="V89" s="8">
        <f t="shared" si="52"/>
        <v>1.2091824916646419</v>
      </c>
      <c r="W89" s="8">
        <f t="shared" si="48"/>
        <v>2.2380447490376576</v>
      </c>
      <c r="X89" s="9">
        <f t="shared" si="57"/>
        <v>7.047001762828875E-2</v>
      </c>
      <c r="Y89" s="10">
        <f t="shared" si="53"/>
        <v>0.94460496377403236</v>
      </c>
      <c r="Z89" s="8">
        <f t="shared" si="54"/>
        <v>28.395086116712644</v>
      </c>
      <c r="AA89" s="13">
        <f t="shared" si="58"/>
        <v>91.72000006927675</v>
      </c>
    </row>
    <row r="90" spans="9:27" x14ac:dyDescent="0.25">
      <c r="I90" s="1"/>
      <c r="J90" s="1"/>
      <c r="O90" s="12">
        <f t="shared" ref="O90:O134" si="61">O89+0.5</f>
        <v>8</v>
      </c>
      <c r="P90" s="11">
        <f t="shared" ref="P90:P99" si="62">P89+32.2*X89*(O90-O89)</f>
        <v>23.757379392041251</v>
      </c>
      <c r="Q90" s="7">
        <f t="shared" ref="Q90:Q99" si="63">Z90/661</f>
        <v>4.397408377740776E-2</v>
      </c>
      <c r="R90" s="8">
        <f t="shared" ref="R90:R99" si="64">1481*Q90^2</f>
        <v>2.8638393852565276</v>
      </c>
      <c r="S90" s="6">
        <f t="shared" si="50"/>
        <v>0</v>
      </c>
      <c r="T90" s="7">
        <f t="shared" si="47"/>
        <v>3.5066499701760935E-2</v>
      </c>
      <c r="U90" s="22">
        <f t="shared" ref="U90:U99" si="65">S90*R90*$P$13</f>
        <v>0</v>
      </c>
      <c r="V90" s="8">
        <f t="shared" si="52"/>
        <v>1.2321241147449462</v>
      </c>
      <c r="W90" s="8">
        <f t="shared" si="48"/>
        <v>2.2219942406524904</v>
      </c>
      <c r="X90" s="9">
        <f t="shared" ref="X90:X99" si="66">IF(T90="","",(W90-V90)/$P$10)</f>
        <v>6.7799323692297547E-2</v>
      </c>
      <c r="Y90" s="10">
        <f t="shared" ref="Y90:Y99" si="67">Q90/$U$9</f>
        <v>0.96695283761084283</v>
      </c>
      <c r="Z90" s="8">
        <f t="shared" si="54"/>
        <v>29.066869376866531</v>
      </c>
      <c r="AA90" s="13">
        <f t="shared" ref="AA90:AA99" si="68">AA89+(P90+P89)/2*(O90-O89)</f>
        <v>103.31504794434352</v>
      </c>
    </row>
    <row r="91" spans="9:27" x14ac:dyDescent="0.25">
      <c r="I91" s="1"/>
      <c r="J91" s="1"/>
      <c r="O91" s="12">
        <f t="shared" si="61"/>
        <v>8.5</v>
      </c>
      <c r="P91" s="11">
        <f t="shared" si="62"/>
        <v>24.848948503487243</v>
      </c>
      <c r="Q91" s="7">
        <f t="shared" si="63"/>
        <v>4.4951880775876384E-2</v>
      </c>
      <c r="R91" s="8">
        <f t="shared" si="64"/>
        <v>2.9926146178124235</v>
      </c>
      <c r="S91" s="6">
        <f t="shared" si="50"/>
        <v>0</v>
      </c>
      <c r="T91" s="7">
        <f t="shared" si="47"/>
        <v>3.5066499701760935E-2</v>
      </c>
      <c r="U91" s="22">
        <f t="shared" si="65"/>
        <v>0</v>
      </c>
      <c r="V91" s="8">
        <f t="shared" si="52"/>
        <v>1.2547025980150237</v>
      </c>
      <c r="W91" s="8">
        <f t="shared" si="48"/>
        <v>2.2063816344654299</v>
      </c>
      <c r="X91" s="9">
        <f t="shared" si="66"/>
        <v>6.5183495647288092E-2</v>
      </c>
      <c r="Y91" s="10">
        <f t="shared" si="67"/>
        <v>0.98845376499940518</v>
      </c>
      <c r="Z91" s="8">
        <f t="shared" si="54"/>
        <v>29.713193192854291</v>
      </c>
      <c r="AA91" s="13">
        <f t="shared" si="68"/>
        <v>115.46662991822564</v>
      </c>
    </row>
    <row r="92" spans="9:27" x14ac:dyDescent="0.25">
      <c r="I92" s="1"/>
      <c r="J92" s="1"/>
      <c r="O92" s="12">
        <f t="shared" si="61"/>
        <v>9</v>
      </c>
      <c r="P92" s="11">
        <f t="shared" si="62"/>
        <v>25.898402783408581</v>
      </c>
      <c r="Q92" s="7">
        <f t="shared" si="63"/>
        <v>4.5891952489318141E-2</v>
      </c>
      <c r="R92" s="8">
        <f t="shared" si="64"/>
        <v>3.1190916001603952</v>
      </c>
      <c r="S92" s="6">
        <f t="shared" si="50"/>
        <v>0</v>
      </c>
      <c r="T92" s="7">
        <f t="shared" si="47"/>
        <v>3.5066499701760935E-2</v>
      </c>
      <c r="U92" s="22">
        <f t="shared" si="65"/>
        <v>0</v>
      </c>
      <c r="V92" s="8">
        <f t="shared" si="52"/>
        <v>1.2768781233339477</v>
      </c>
      <c r="W92" s="8">
        <f t="shared" si="48"/>
        <v>2.1912138446363123</v>
      </c>
      <c r="X92" s="9">
        <f t="shared" si="66"/>
        <v>6.2625734335778394E-2</v>
      </c>
      <c r="Y92" s="10">
        <f t="shared" si="67"/>
        <v>1.0091251453395047</v>
      </c>
      <c r="Z92" s="8">
        <f t="shared" si="54"/>
        <v>30.334580595439292</v>
      </c>
      <c r="AA92" s="13">
        <f t="shared" si="68"/>
        <v>128.15346773994958</v>
      </c>
    </row>
    <row r="93" spans="9:27" x14ac:dyDescent="0.25">
      <c r="I93" s="1"/>
      <c r="J93" s="1"/>
      <c r="O93" s="12">
        <f t="shared" si="61"/>
        <v>9.5</v>
      </c>
      <c r="P93" s="11">
        <f t="shared" si="62"/>
        <v>26.906677106214612</v>
      </c>
      <c r="Q93" s="7">
        <f t="shared" si="63"/>
        <v>4.6795136352011657E-2</v>
      </c>
      <c r="R93" s="8">
        <f t="shared" si="64"/>
        <v>3.2430712683671805</v>
      </c>
      <c r="S93" s="6">
        <f t="shared" si="50"/>
        <v>0</v>
      </c>
      <c r="T93" s="7">
        <f t="shared" si="47"/>
        <v>3.5066499701760935E-2</v>
      </c>
      <c r="U93" s="22">
        <f t="shared" si="65"/>
        <v>0</v>
      </c>
      <c r="V93" s="8">
        <f t="shared" si="52"/>
        <v>1.2986157883249358</v>
      </c>
      <c r="W93" s="8">
        <f t="shared" si="48"/>
        <v>2.1764957526898194</v>
      </c>
      <c r="X93" s="9">
        <f t="shared" si="66"/>
        <v>6.0128764682526273E-2</v>
      </c>
      <c r="Y93" s="10">
        <f t="shared" si="67"/>
        <v>1.0289853931012671</v>
      </c>
      <c r="Z93" s="8">
        <f t="shared" si="54"/>
        <v>30.931585128679707</v>
      </c>
      <c r="AA93" s="13">
        <f t="shared" si="68"/>
        <v>141.35473771235539</v>
      </c>
    </row>
    <row r="94" spans="9:27" x14ac:dyDescent="0.25">
      <c r="I94" s="1"/>
      <c r="J94" s="1"/>
      <c r="O94" s="12">
        <f t="shared" si="61"/>
        <v>10</v>
      </c>
      <c r="P94" s="11">
        <f t="shared" si="62"/>
        <v>27.874750217603285</v>
      </c>
      <c r="Q94" s="7">
        <f t="shared" si="63"/>
        <v>4.766230909690556E-2</v>
      </c>
      <c r="R94" s="8">
        <f t="shared" si="64"/>
        <v>3.3643813442129193</v>
      </c>
      <c r="S94" s="6">
        <f t="shared" si="50"/>
        <v>0</v>
      </c>
      <c r="T94" s="7">
        <f t="shared" si="47"/>
        <v>3.5066499701760935E-2</v>
      </c>
      <c r="U94" s="22">
        <f t="shared" si="65"/>
        <v>0</v>
      </c>
      <c r="V94" s="8">
        <f t="shared" si="52"/>
        <v>1.319885387017262</v>
      </c>
      <c r="W94" s="8">
        <f t="shared" si="48"/>
        <v>2.1622303375918768</v>
      </c>
      <c r="X94" s="9">
        <f t="shared" si="66"/>
        <v>5.7694859628398272E-2</v>
      </c>
      <c r="Y94" s="10">
        <f t="shared" si="67"/>
        <v>1.0480537868992692</v>
      </c>
      <c r="Z94" s="8">
        <f t="shared" si="54"/>
        <v>31.504786313054577</v>
      </c>
      <c r="AA94" s="13">
        <f t="shared" si="68"/>
        <v>155.05009454330985</v>
      </c>
    </row>
    <row r="95" spans="9:27" x14ac:dyDescent="0.25">
      <c r="I95" s="1"/>
      <c r="J95" s="1"/>
      <c r="O95" s="12">
        <f t="shared" si="61"/>
        <v>10.5</v>
      </c>
      <c r="P95" s="11">
        <f t="shared" si="62"/>
        <v>28.803637457620496</v>
      </c>
      <c r="Q95" s="7">
        <f t="shared" si="63"/>
        <v>4.8494380237139152E-2</v>
      </c>
      <c r="R95" s="8">
        <f t="shared" si="64"/>
        <v>3.4828749784992477</v>
      </c>
      <c r="S95" s="6">
        <f t="shared" si="50"/>
        <v>0</v>
      </c>
      <c r="T95" s="7">
        <f t="shared" si="47"/>
        <v>3.5066499701760935E-2</v>
      </c>
      <c r="U95" s="22">
        <f t="shared" si="65"/>
        <v>0</v>
      </c>
      <c r="V95" s="8">
        <f t="shared" si="52"/>
        <v>1.3406611719740724</v>
      </c>
      <c r="W95" s="8">
        <f t="shared" si="48"/>
        <v>2.1484188092273011</v>
      </c>
      <c r="X95" s="9">
        <f t="shared" si="66"/>
        <v>5.5325865565289636E-2</v>
      </c>
      <c r="Y95" s="10">
        <f t="shared" si="67"/>
        <v>1.0663503261567016</v>
      </c>
      <c r="Z95" s="8">
        <f t="shared" si="54"/>
        <v>32.054785336748978</v>
      </c>
      <c r="AA95" s="13">
        <f t="shared" si="68"/>
        <v>169.2196914621158</v>
      </c>
    </row>
    <row r="96" spans="9:27" x14ac:dyDescent="0.25">
      <c r="I96" s="1"/>
      <c r="J96" s="1"/>
      <c r="O96" s="12">
        <f t="shared" si="61"/>
        <v>11</v>
      </c>
      <c r="P96" s="11">
        <f t="shared" si="62"/>
        <v>29.694383893221659</v>
      </c>
      <c r="Q96" s="7">
        <f t="shared" si="63"/>
        <v>4.9292285914383602E-2</v>
      </c>
      <c r="R96" s="8">
        <f t="shared" si="64"/>
        <v>3.5984293164353685</v>
      </c>
      <c r="S96" s="6">
        <f t="shared" si="50"/>
        <v>0</v>
      </c>
      <c r="T96" s="7">
        <f t="shared" si="47"/>
        <v>3.5066499701760935E-2</v>
      </c>
      <c r="U96" s="22">
        <f t="shared" si="65"/>
        <v>0</v>
      </c>
      <c r="V96" s="8">
        <f t="shared" si="52"/>
        <v>1.3609216027579434</v>
      </c>
      <c r="W96" s="8">
        <f t="shared" si="48"/>
        <v>2.1350607434685158</v>
      </c>
      <c r="X96" s="9">
        <f t="shared" si="66"/>
        <v>5.3023228815792633E-2</v>
      </c>
      <c r="Y96" s="10">
        <f t="shared" si="67"/>
        <v>1.0838955958356051</v>
      </c>
      <c r="Z96" s="8">
        <f t="shared" si="54"/>
        <v>32.582200989407561</v>
      </c>
      <c r="AA96" s="13">
        <f t="shared" si="68"/>
        <v>183.84419679982634</v>
      </c>
    </row>
    <row r="97" spans="9:27" x14ac:dyDescent="0.25">
      <c r="I97" s="1"/>
      <c r="J97" s="1"/>
      <c r="O97" s="12">
        <f t="shared" si="61"/>
        <v>11.5</v>
      </c>
      <c r="P97" s="11">
        <f t="shared" si="62"/>
        <v>30.548057877155919</v>
      </c>
      <c r="Q97" s="7">
        <f t="shared" si="63"/>
        <v>5.0056983129071114E-2</v>
      </c>
      <c r="R97" s="8">
        <f t="shared" si="64"/>
        <v>3.7109440103364673</v>
      </c>
      <c r="S97" s="6">
        <f t="shared" si="50"/>
        <v>0</v>
      </c>
      <c r="T97" s="7">
        <f t="shared" si="47"/>
        <v>3.5066499701760935E-2</v>
      </c>
      <c r="U97" s="22">
        <f t="shared" si="65"/>
        <v>0</v>
      </c>
      <c r="V97" s="8">
        <f t="shared" si="52"/>
        <v>1.3806490851585762</v>
      </c>
      <c r="W97" s="8">
        <f t="shared" si="48"/>
        <v>2.122154217222918</v>
      </c>
      <c r="X97" s="9">
        <f t="shared" si="66"/>
        <v>5.0788022744133E-2</v>
      </c>
      <c r="Y97" s="10">
        <f t="shared" si="67"/>
        <v>1.1007106395645001</v>
      </c>
      <c r="Z97" s="8">
        <f t="shared" si="54"/>
        <v>33.087665848316007</v>
      </c>
      <c r="AA97" s="13">
        <f t="shared" si="68"/>
        <v>198.90480724242073</v>
      </c>
    </row>
    <row r="98" spans="9:27" x14ac:dyDescent="0.25">
      <c r="I98" s="1"/>
      <c r="J98" s="1"/>
      <c r="O98" s="12">
        <f t="shared" si="61"/>
        <v>12</v>
      </c>
      <c r="P98" s="11">
        <f t="shared" si="62"/>
        <v>31.36574504333646</v>
      </c>
      <c r="Q98" s="7">
        <f t="shared" si="63"/>
        <v>5.0789444361615983E-2</v>
      </c>
      <c r="R98" s="8">
        <f t="shared" si="64"/>
        <v>3.8203397023298566</v>
      </c>
      <c r="S98" s="6">
        <f t="shared" si="50"/>
        <v>0</v>
      </c>
      <c r="T98" s="7">
        <f t="shared" si="47"/>
        <v>3.5066499701760935E-2</v>
      </c>
      <c r="U98" s="22">
        <f t="shared" si="65"/>
        <v>0</v>
      </c>
      <c r="V98" s="8">
        <f t="shared" si="52"/>
        <v>1.3998297051618769</v>
      </c>
      <c r="W98" s="8">
        <f t="shared" si="48"/>
        <v>2.1096959420451649</v>
      </c>
      <c r="X98" s="9">
        <f t="shared" si="66"/>
        <v>4.8620975128992328E-2</v>
      </c>
      <c r="Y98" s="10">
        <f t="shared" si="67"/>
        <v>1.1168168413635942</v>
      </c>
      <c r="Z98" s="8">
        <f t="shared" si="54"/>
        <v>33.571822723028163</v>
      </c>
      <c r="AA98" s="13">
        <f t="shared" si="68"/>
        <v>214.38325797254382</v>
      </c>
    </row>
    <row r="99" spans="9:27" ht="15.75" thickBot="1" x14ac:dyDescent="0.3">
      <c r="I99" s="1"/>
      <c r="J99" s="1"/>
      <c r="O99" s="14">
        <f t="shared" si="61"/>
        <v>12.5</v>
      </c>
      <c r="P99" s="20">
        <f t="shared" si="62"/>
        <v>32.148542742913236</v>
      </c>
      <c r="Q99" s="15">
        <f t="shared" si="63"/>
        <v>5.1490652588404642E-2</v>
      </c>
      <c r="R99" s="16">
        <f t="shared" si="64"/>
        <v>3.9265564971940572</v>
      </c>
      <c r="S99" s="28">
        <f t="shared" si="50"/>
        <v>0</v>
      </c>
      <c r="T99" s="15">
        <f t="shared" si="47"/>
        <v>3.5066499701760935E-2</v>
      </c>
      <c r="U99" s="29">
        <f t="shared" si="65"/>
        <v>0</v>
      </c>
      <c r="V99" s="8">
        <f t="shared" si="52"/>
        <v>1.4184529611890144</v>
      </c>
      <c r="W99" s="8">
        <f t="shared" si="48"/>
        <v>2.0976813950959698</v>
      </c>
      <c r="X99" s="17">
        <f t="shared" si="66"/>
        <v>4.6522495473079142E-2</v>
      </c>
      <c r="Y99" s="18">
        <f t="shared" si="67"/>
        <v>1.1322358160506281</v>
      </c>
      <c r="Z99" s="8">
        <f t="shared" si="54"/>
        <v>34.03532136093547</v>
      </c>
      <c r="AA99" s="19">
        <f t="shared" si="68"/>
        <v>230.26182991910625</v>
      </c>
    </row>
    <row r="100" spans="9:27" ht="15.75" thickBot="1" x14ac:dyDescent="0.3">
      <c r="I100" s="1"/>
      <c r="J100" s="1"/>
      <c r="O100" s="14">
        <f t="shared" si="61"/>
        <v>13</v>
      </c>
      <c r="P100" s="20">
        <f t="shared" ref="P100:P111" si="69">P99+32.2*X99*(O100-O99)</f>
        <v>32.897554920029812</v>
      </c>
      <c r="Q100" s="15">
        <f t="shared" ref="Q100:Q111" si="70">Z100/661</f>
        <v>5.2161596691642276E-2</v>
      </c>
      <c r="R100" s="16">
        <f t="shared" ref="R100:R111" si="71">1481*Q100^2</f>
        <v>4.0295524429133103</v>
      </c>
      <c r="S100" s="28">
        <f t="shared" si="50"/>
        <v>0</v>
      </c>
      <c r="T100" s="15">
        <f t="shared" ref="T100:T111" si="72">IF(S100&lt;$P$8,S100^2/(PI()*$P$12)+$P$11,99.999)</f>
        <v>3.5066499701760935E-2</v>
      </c>
      <c r="U100" s="29">
        <f t="shared" ref="U100:U111" si="73">S100*R100*$P$13</f>
        <v>0</v>
      </c>
      <c r="V100" s="8">
        <f t="shared" ref="V100:V111" si="74">IF(T100="","",R100*T100*$P$13+$U$12*($P$10-U100))</f>
        <v>1.4365114976882483</v>
      </c>
      <c r="W100" s="8">
        <f t="shared" si="48"/>
        <v>2.0861049464174566</v>
      </c>
      <c r="X100" s="17">
        <f t="shared" ref="X100:X111" si="75">IF(T100="","",(W100-V100)/$P$10)</f>
        <v>4.4492701967753998E-2</v>
      </c>
      <c r="Y100" s="18">
        <f t="shared" ref="Y100:Y111" si="76">Q100/$U$9</f>
        <v>1.1469893083072924</v>
      </c>
      <c r="Z100" s="8">
        <f t="shared" ref="Z100:Z111" si="77">P100*3600/6080+$P$14</f>
        <v>34.478815413175546</v>
      </c>
      <c r="AA100" s="19">
        <f t="shared" ref="AA100:AA111" si="78">AA99+(P100+P99)/2*(O100-O99)</f>
        <v>246.523354334842</v>
      </c>
    </row>
    <row r="101" spans="9:27" ht="15.75" thickBot="1" x14ac:dyDescent="0.3">
      <c r="I101" s="1"/>
      <c r="J101" s="1"/>
      <c r="O101" s="14">
        <f t="shared" si="61"/>
        <v>13.5</v>
      </c>
      <c r="P101" s="20">
        <f t="shared" si="69"/>
        <v>33.61388742171065</v>
      </c>
      <c r="Q101" s="15">
        <f t="shared" si="70"/>
        <v>5.2803267258081446E-2</v>
      </c>
      <c r="R101" s="16">
        <f t="shared" si="71"/>
        <v>4.1293020340631248</v>
      </c>
      <c r="S101" s="28">
        <f t="shared" si="50"/>
        <v>0</v>
      </c>
      <c r="T101" s="15">
        <f t="shared" si="72"/>
        <v>3.5066499701760935E-2</v>
      </c>
      <c r="U101" s="29">
        <f t="shared" si="73"/>
        <v>0</v>
      </c>
      <c r="V101" s="8">
        <f t="shared" si="74"/>
        <v>1.454000842729777</v>
      </c>
      <c r="W101" s="8">
        <f t="shared" si="48"/>
        <v>2.0749599816739646</v>
      </c>
      <c r="X101" s="17">
        <f t="shared" si="75"/>
        <v>4.2531447872889559E-2</v>
      </c>
      <c r="Y101" s="18">
        <f t="shared" si="76"/>
        <v>1.1610991002968296</v>
      </c>
      <c r="Z101" s="8">
        <f t="shared" si="77"/>
        <v>34.902959657591836</v>
      </c>
      <c r="AA101" s="19">
        <f t="shared" si="78"/>
        <v>263.15121492027708</v>
      </c>
    </row>
    <row r="102" spans="9:27" ht="15.75" thickBot="1" x14ac:dyDescent="0.3">
      <c r="I102" s="1"/>
      <c r="J102" s="1"/>
      <c r="O102" s="14">
        <f t="shared" si="61"/>
        <v>14</v>
      </c>
      <c r="P102" s="20">
        <f t="shared" si="69"/>
        <v>34.298643732464171</v>
      </c>
      <c r="Q102" s="15">
        <f t="shared" si="70"/>
        <v>5.3416652758199061E-2</v>
      </c>
      <c r="R102" s="16">
        <f t="shared" si="71"/>
        <v>4.2257947507891132</v>
      </c>
      <c r="S102" s="28">
        <f t="shared" si="50"/>
        <v>0</v>
      </c>
      <c r="T102" s="15">
        <f t="shared" si="72"/>
        <v>3.5066499701760935E-2</v>
      </c>
      <c r="U102" s="29">
        <f t="shared" si="73"/>
        <v>0</v>
      </c>
      <c r="V102" s="8">
        <f t="shared" si="74"/>
        <v>1.4709191518412468</v>
      </c>
      <c r="W102" s="8">
        <f t="shared" si="48"/>
        <v>2.0642390196744218</v>
      </c>
      <c r="X102" s="17">
        <f t="shared" si="75"/>
        <v>4.0638347111861303E-2</v>
      </c>
      <c r="Y102" s="18">
        <f t="shared" si="76"/>
        <v>1.1745869276473746</v>
      </c>
      <c r="Z102" s="8">
        <f t="shared" si="77"/>
        <v>35.308407473169581</v>
      </c>
      <c r="AA102" s="19">
        <f t="shared" si="78"/>
        <v>280.12934770882077</v>
      </c>
    </row>
    <row r="103" spans="9:27" ht="15.75" thickBot="1" x14ac:dyDescent="0.3">
      <c r="I103" s="1"/>
      <c r="J103" s="1"/>
      <c r="O103" s="14">
        <f t="shared" si="61"/>
        <v>14.5</v>
      </c>
      <c r="P103" s="20">
        <f t="shared" si="69"/>
        <v>34.952921120965136</v>
      </c>
      <c r="Q103" s="15">
        <f t="shared" si="70"/>
        <v>5.4002736094502568E-2</v>
      </c>
      <c r="R103" s="16">
        <f t="shared" si="71"/>
        <v>4.3190336439305783</v>
      </c>
      <c r="S103" s="28">
        <f t="shared" si="50"/>
        <v>0</v>
      </c>
      <c r="T103" s="15">
        <f t="shared" si="72"/>
        <v>3.5066499701760935E-2</v>
      </c>
      <c r="U103" s="29">
        <f t="shared" si="73"/>
        <v>0</v>
      </c>
      <c r="V103" s="8">
        <f t="shared" si="74"/>
        <v>1.4872669599339354</v>
      </c>
      <c r="W103" s="8">
        <f t="shared" si="48"/>
        <v>2.0539338241464851</v>
      </c>
      <c r="X103" s="17">
        <f t="shared" si="75"/>
        <v>3.8812798918667783E-2</v>
      </c>
      <c r="Y103" s="18">
        <f t="shared" si="76"/>
        <v>1.1874744035521316</v>
      </c>
      <c r="Z103" s="8">
        <f t="shared" si="77"/>
        <v>35.695808558466197</v>
      </c>
      <c r="AA103" s="19">
        <f t="shared" si="78"/>
        <v>297.44223892217809</v>
      </c>
    </row>
    <row r="104" spans="9:27" ht="15.75" thickBot="1" x14ac:dyDescent="0.3">
      <c r="I104" s="1"/>
      <c r="J104" s="1"/>
      <c r="O104" s="14">
        <f t="shared" si="61"/>
        <v>15</v>
      </c>
      <c r="P104" s="20">
        <f t="shared" si="69"/>
        <v>35.577807183555684</v>
      </c>
      <c r="Q104" s="15">
        <f t="shared" si="70"/>
        <v>5.4562491505295116E-2</v>
      </c>
      <c r="R104" s="16">
        <f t="shared" si="71"/>
        <v>4.4090339747920604</v>
      </c>
      <c r="S104" s="28">
        <f t="shared" si="50"/>
        <v>0</v>
      </c>
      <c r="T104" s="15">
        <f t="shared" si="72"/>
        <v>3.5066499701760935E-2</v>
      </c>
      <c r="U104" s="29">
        <f t="shared" si="73"/>
        <v>0</v>
      </c>
      <c r="V104" s="8">
        <f t="shared" si="74"/>
        <v>1.503046942810498</v>
      </c>
      <c r="W104" s="8">
        <f t="shared" si="48"/>
        <v>2.0440355093727751</v>
      </c>
      <c r="X104" s="17">
        <f t="shared" si="75"/>
        <v>3.7054011408375144E-2</v>
      </c>
      <c r="Y104" s="18">
        <f t="shared" si="76"/>
        <v>1.1997829506857947</v>
      </c>
      <c r="Z104" s="8">
        <f t="shared" si="77"/>
        <v>36.065806885000072</v>
      </c>
      <c r="AA104" s="19">
        <f t="shared" si="78"/>
        <v>315.0749209983083</v>
      </c>
    </row>
    <row r="105" spans="9:27" ht="15.75" thickBot="1" x14ac:dyDescent="0.3">
      <c r="I105" s="1"/>
      <c r="J105" s="1"/>
      <c r="O105" s="14">
        <f t="shared" si="61"/>
        <v>15.5</v>
      </c>
      <c r="P105" s="20">
        <f t="shared" si="69"/>
        <v>36.174376767230527</v>
      </c>
      <c r="Q105" s="15">
        <f t="shared" si="70"/>
        <v>5.5096881808371967E-2</v>
      </c>
      <c r="R105" s="16">
        <f t="shared" si="71"/>
        <v>4.4958219161934565</v>
      </c>
      <c r="S105" s="28">
        <f t="shared" si="50"/>
        <v>0</v>
      </c>
      <c r="T105" s="15">
        <f t="shared" si="72"/>
        <v>3.5066499701760935E-2</v>
      </c>
      <c r="U105" s="29">
        <f t="shared" si="73"/>
        <v>0</v>
      </c>
      <c r="V105" s="8">
        <f t="shared" si="74"/>
        <v>1.5182636894168406</v>
      </c>
      <c r="W105" s="8">
        <f t="shared" si="48"/>
        <v>2.0345346394252442</v>
      </c>
      <c r="X105" s="17">
        <f t="shared" si="75"/>
        <v>3.5361023973178321E-2</v>
      </c>
      <c r="Y105" s="18">
        <f t="shared" si="76"/>
        <v>1.211533740595768</v>
      </c>
      <c r="Z105" s="8">
        <f t="shared" si="77"/>
        <v>36.419038875333868</v>
      </c>
      <c r="AA105" s="19">
        <f t="shared" si="78"/>
        <v>333.01296698600487</v>
      </c>
    </row>
    <row r="106" spans="9:27" ht="15.75" thickBot="1" x14ac:dyDescent="0.3">
      <c r="I106" s="1"/>
      <c r="J106" s="1"/>
      <c r="O106" s="14">
        <f t="shared" si="61"/>
        <v>16</v>
      </c>
      <c r="P106" s="20">
        <f t="shared" si="69"/>
        <v>36.743689253198696</v>
      </c>
      <c r="Q106" s="15">
        <f t="shared" si="70"/>
        <v>5.5606855967711227E-2</v>
      </c>
      <c r="R106" s="16">
        <f t="shared" si="71"/>
        <v>4.5794333197390111</v>
      </c>
      <c r="S106" s="28">
        <f t="shared" si="50"/>
        <v>0</v>
      </c>
      <c r="T106" s="15">
        <f t="shared" si="72"/>
        <v>3.5066499701760935E-2</v>
      </c>
      <c r="U106" s="29">
        <f t="shared" si="73"/>
        <v>0</v>
      </c>
      <c r="V106" s="8">
        <f t="shared" si="74"/>
        <v>1.5329234857043106</v>
      </c>
      <c r="W106" s="8">
        <f t="shared" ref="W106:W134" si="79">$P$9*($G$34*Z106^2+$G$35*Z106+$G$36)</f>
        <v>2.0254213208450107</v>
      </c>
      <c r="X106" s="17">
        <f t="shared" si="75"/>
        <v>3.3732728434294527E-2</v>
      </c>
      <c r="Y106" s="18">
        <f t="shared" si="76"/>
        <v>1.2227476401957558</v>
      </c>
      <c r="Z106" s="8">
        <f t="shared" si="77"/>
        <v>36.756131794657122</v>
      </c>
      <c r="AA106" s="19">
        <f t="shared" si="78"/>
        <v>351.24248349111218</v>
      </c>
    </row>
    <row r="107" spans="9:27" ht="15.75" thickBot="1" x14ac:dyDescent="0.3">
      <c r="I107" s="1"/>
      <c r="J107" s="1"/>
      <c r="O107" s="14">
        <f t="shared" si="61"/>
        <v>16.5</v>
      </c>
      <c r="P107" s="20">
        <f t="shared" si="69"/>
        <v>37.286786180990838</v>
      </c>
      <c r="Q107" s="15">
        <f t="shared" si="70"/>
        <v>5.6093346965215937E-2</v>
      </c>
      <c r="R107" s="16">
        <f t="shared" si="71"/>
        <v>4.6599125527387084</v>
      </c>
      <c r="S107" s="28">
        <f t="shared" si="50"/>
        <v>0</v>
      </c>
      <c r="T107" s="15">
        <f t="shared" si="72"/>
        <v>3.5066499701760935E-2</v>
      </c>
      <c r="U107" s="29">
        <f t="shared" si="73"/>
        <v>0</v>
      </c>
      <c r="V107" s="8">
        <f t="shared" si="74"/>
        <v>1.5470341107042198</v>
      </c>
      <c r="W107" s="8">
        <f t="shared" si="79"/>
        <v>2.0166852887121367</v>
      </c>
      <c r="X107" s="17">
        <f t="shared" si="75"/>
        <v>3.2167888904651845E-2</v>
      </c>
      <c r="Y107" s="18">
        <f t="shared" si="76"/>
        <v>1.2334451649671756</v>
      </c>
      <c r="Z107" s="8">
        <f t="shared" si="77"/>
        <v>37.077702344007733</v>
      </c>
      <c r="AA107" s="19">
        <f t="shared" si="78"/>
        <v>369.75010234965958</v>
      </c>
    </row>
    <row r="108" spans="9:27" ht="15.75" thickBot="1" x14ac:dyDescent="0.3">
      <c r="I108" s="1"/>
      <c r="J108" s="1"/>
      <c r="O108" s="14">
        <f t="shared" si="61"/>
        <v>17</v>
      </c>
      <c r="P108" s="20">
        <f t="shared" si="69"/>
        <v>37.804689192355731</v>
      </c>
      <c r="Q108" s="15">
        <f t="shared" si="70"/>
        <v>5.655726995891408E-2</v>
      </c>
      <c r="R108" s="16">
        <f t="shared" si="71"/>
        <v>4.7373114068893241</v>
      </c>
      <c r="S108" s="28">
        <f t="shared" si="50"/>
        <v>0</v>
      </c>
      <c r="T108" s="15">
        <f t="shared" si="72"/>
        <v>3.5066499701760935E-2</v>
      </c>
      <c r="U108" s="29">
        <f t="shared" si="73"/>
        <v>0</v>
      </c>
      <c r="V108" s="8">
        <f t="shared" si="74"/>
        <v>1.5606046451841658</v>
      </c>
      <c r="W108" s="8">
        <f t="shared" si="79"/>
        <v>2.0083159861334035</v>
      </c>
      <c r="X108" s="17">
        <f t="shared" si="75"/>
        <v>3.0665160338988886E-2</v>
      </c>
      <c r="Y108" s="18">
        <f t="shared" si="76"/>
        <v>1.2436464384595367</v>
      </c>
      <c r="Z108" s="8">
        <f t="shared" si="77"/>
        <v>37.384355442842207</v>
      </c>
      <c r="AA108" s="19">
        <f t="shared" si="78"/>
        <v>388.52297119299624</v>
      </c>
    </row>
    <row r="109" spans="9:27" ht="15.75" thickBot="1" x14ac:dyDescent="0.3">
      <c r="I109" s="1"/>
      <c r="J109" s="1"/>
      <c r="O109" s="14">
        <f t="shared" si="61"/>
        <v>17.5</v>
      </c>
      <c r="P109" s="20">
        <f t="shared" si="69"/>
        <v>38.298398273813454</v>
      </c>
      <c r="Q109" s="15">
        <f t="shared" si="70"/>
        <v>5.6999520708687107E-2</v>
      </c>
      <c r="R109" s="16">
        <f t="shared" si="71"/>
        <v>4.8116880796706942</v>
      </c>
      <c r="S109" s="28">
        <f t="shared" si="50"/>
        <v>0</v>
      </c>
      <c r="T109" s="15">
        <f t="shared" si="72"/>
        <v>3.5066499701760935E-2</v>
      </c>
      <c r="U109" s="29">
        <f t="shared" si="73"/>
        <v>0</v>
      </c>
      <c r="V109" s="8">
        <f t="shared" si="74"/>
        <v>1.5736452930536953</v>
      </c>
      <c r="W109" s="8">
        <f t="shared" si="79"/>
        <v>2.0003026372468686</v>
      </c>
      <c r="X109" s="17">
        <f t="shared" si="75"/>
        <v>2.922310576665571E-2</v>
      </c>
      <c r="Y109" s="18">
        <f t="shared" si="76"/>
        <v>1.2533711576735445</v>
      </c>
      <c r="Z109" s="8">
        <f t="shared" si="77"/>
        <v>37.676683188442176</v>
      </c>
      <c r="AA109" s="19">
        <f t="shared" si="78"/>
        <v>407.54874305953854</v>
      </c>
    </row>
    <row r="110" spans="9:27" ht="15.75" thickBot="1" x14ac:dyDescent="0.3">
      <c r="I110" s="1"/>
      <c r="J110" s="1"/>
      <c r="O110" s="14">
        <f t="shared" si="61"/>
        <v>18</v>
      </c>
      <c r="P110" s="20">
        <f t="shared" si="69"/>
        <v>38.768890276656613</v>
      </c>
      <c r="Q110" s="15">
        <f t="shared" si="70"/>
        <v>5.7420974250528452E-2</v>
      </c>
      <c r="R110" s="16">
        <f t="shared" si="71"/>
        <v>4.88310622842606</v>
      </c>
      <c r="S110" s="28">
        <f t="shared" si="50"/>
        <v>0</v>
      </c>
      <c r="T110" s="15">
        <f t="shared" si="72"/>
        <v>3.5066499701760935E-2</v>
      </c>
      <c r="U110" s="29">
        <f t="shared" si="73"/>
        <v>0</v>
      </c>
      <c r="V110" s="8">
        <f t="shared" si="74"/>
        <v>1.5861672155138469</v>
      </c>
      <c r="W110" s="8">
        <f t="shared" si="79"/>
        <v>1.9926343139007545</v>
      </c>
      <c r="X110" s="17">
        <f t="shared" si="75"/>
        <v>2.7840212218281347E-2</v>
      </c>
      <c r="Y110" s="18">
        <f t="shared" si="76"/>
        <v>1.2626385639091693</v>
      </c>
      <c r="Z110" s="8">
        <f t="shared" si="77"/>
        <v>37.955263979599309</v>
      </c>
      <c r="AA110" s="19">
        <f t="shared" si="78"/>
        <v>426.81556519715605</v>
      </c>
    </row>
    <row r="111" spans="9:27" ht="15.75" thickBot="1" x14ac:dyDescent="0.3">
      <c r="I111" s="1"/>
      <c r="J111" s="1"/>
      <c r="O111" s="14">
        <f t="shared" si="61"/>
        <v>18.5</v>
      </c>
      <c r="P111" s="20">
        <f t="shared" si="69"/>
        <v>39.217117693370945</v>
      </c>
      <c r="Q111" s="15">
        <f t="shared" si="70"/>
        <v>5.7822483800495518E-2</v>
      </c>
      <c r="R111" s="16">
        <f t="shared" si="71"/>
        <v>4.951634096263537</v>
      </c>
      <c r="S111" s="28">
        <f t="shared" si="50"/>
        <v>0</v>
      </c>
      <c r="T111" s="15">
        <f t="shared" si="72"/>
        <v>3.5066499701760935E-2</v>
      </c>
      <c r="U111" s="29">
        <f t="shared" si="73"/>
        <v>0</v>
      </c>
      <c r="V111" s="8">
        <f t="shared" si="74"/>
        <v>1.598182377799273</v>
      </c>
      <c r="W111" s="8">
        <f t="shared" si="79"/>
        <v>1.9852999962119788</v>
      </c>
      <c r="X111" s="17">
        <f t="shared" si="75"/>
        <v>2.6514905370733279E-2</v>
      </c>
      <c r="Y111" s="18">
        <f t="shared" si="76"/>
        <v>1.2714674186644779</v>
      </c>
      <c r="Z111" s="8">
        <f t="shared" si="77"/>
        <v>38.220661792127537</v>
      </c>
      <c r="AA111" s="19">
        <f t="shared" si="78"/>
        <v>446.31206718966291</v>
      </c>
    </row>
    <row r="112" spans="9:27" ht="15.75" thickBot="1" x14ac:dyDescent="0.3">
      <c r="I112" s="1"/>
      <c r="J112" s="1"/>
      <c r="O112" s="14">
        <f t="shared" si="61"/>
        <v>19</v>
      </c>
      <c r="P112" s="20">
        <f t="shared" ref="P112:P114" si="80">P111+32.2*X111*(O112-O111)</f>
        <v>39.644007669839752</v>
      </c>
      <c r="Q112" s="15">
        <f t="shared" ref="Q112:Q114" si="81">Z112/661</f>
        <v>5.8204879869869983E-2</v>
      </c>
      <c r="R112" s="16">
        <f t="shared" ref="R112:R114" si="82">1481*Q112^2</f>
        <v>5.0173437082263392</v>
      </c>
      <c r="S112" s="28">
        <f t="shared" si="50"/>
        <v>0</v>
      </c>
      <c r="T112" s="15">
        <f t="shared" ref="T112:T114" si="83">IF(S112&lt;$P$8,S112^2/(PI()*$P$12)+$P$11,99.999)</f>
        <v>3.5066499701760935E-2</v>
      </c>
      <c r="U112" s="29">
        <f t="shared" ref="U112:U114" si="84">S112*R112*$P$13</f>
        <v>0</v>
      </c>
      <c r="V112" s="8">
        <f t="shared" ref="V112:V114" si="85">IF(T112="","",R112*T112*$P$13+$U$12*($P$10-U112))</f>
        <v>1.6097034082407551</v>
      </c>
      <c r="W112" s="8">
        <f t="shared" si="79"/>
        <v>1.9782886272474318</v>
      </c>
      <c r="X112" s="17">
        <f t="shared" ref="X112:X114" si="86">IF(T112="","",(W112-V112)/$P$10)</f>
        <v>2.524556294566279E-2</v>
      </c>
      <c r="Y112" s="18">
        <f t="shared" ref="Y112:Y114" si="87">Q112/$U$9</f>
        <v>1.2798759841787601</v>
      </c>
      <c r="Z112" s="8">
        <f t="shared" ref="Z112:Z114" si="88">P112*3600/6080+$P$14</f>
        <v>38.473425593984061</v>
      </c>
      <c r="AA112" s="19">
        <f t="shared" ref="AA112:AA114" si="89">AA111+(P112+P111)/2*(O112-O111)</f>
        <v>466.02734853046559</v>
      </c>
    </row>
    <row r="113" spans="9:27" ht="15.75" thickBot="1" x14ac:dyDescent="0.3">
      <c r="I113" s="1"/>
      <c r="J113" s="1"/>
      <c r="O113" s="14">
        <f t="shared" si="61"/>
        <v>19.5</v>
      </c>
      <c r="P113" s="20">
        <f t="shared" si="80"/>
        <v>40.050461233264926</v>
      </c>
      <c r="Q113" s="15">
        <f t="shared" si="81"/>
        <v>5.8568969573551267E-2</v>
      </c>
      <c r="R113" s="16">
        <f t="shared" si="82"/>
        <v>5.0803101356201177</v>
      </c>
      <c r="S113" s="28">
        <f t="shared" si="50"/>
        <v>0</v>
      </c>
      <c r="T113" s="15">
        <f t="shared" si="83"/>
        <v>3.5066499701760935E-2</v>
      </c>
      <c r="U113" s="29">
        <f t="shared" si="84"/>
        <v>0</v>
      </c>
      <c r="V113" s="8">
        <f t="shared" si="85"/>
        <v>1.6207434692778795</v>
      </c>
      <c r="W113" s="8">
        <f t="shared" si="79"/>
        <v>1.9715891620999333</v>
      </c>
      <c r="X113" s="17">
        <f t="shared" si="86"/>
        <v>2.4030526905620124E-2</v>
      </c>
      <c r="Y113" s="18">
        <f t="shared" si="87"/>
        <v>1.2878820082246865</v>
      </c>
      <c r="Z113" s="8">
        <f t="shared" si="88"/>
        <v>38.714088888117388</v>
      </c>
      <c r="AA113" s="19">
        <f t="shared" si="89"/>
        <v>485.95096575624177</v>
      </c>
    </row>
    <row r="114" spans="9:27" ht="15.75" thickBot="1" x14ac:dyDescent="0.3">
      <c r="I114" s="1"/>
      <c r="J114" s="1"/>
      <c r="O114" s="14">
        <f t="shared" si="61"/>
        <v>20</v>
      </c>
      <c r="P114" s="20">
        <f t="shared" si="80"/>
        <v>40.43735271644541</v>
      </c>
      <c r="Q114" s="15">
        <f t="shared" si="81"/>
        <v>5.8915536114341173E-2</v>
      </c>
      <c r="R114" s="16">
        <f t="shared" si="82"/>
        <v>5.1406108259431944</v>
      </c>
      <c r="S114" s="28">
        <f t="shared" si="50"/>
        <v>0</v>
      </c>
      <c r="T114" s="15">
        <f t="shared" si="83"/>
        <v>3.5066499701760935E-2</v>
      </c>
      <c r="U114" s="29">
        <f t="shared" si="84"/>
        <v>0</v>
      </c>
      <c r="V114" s="8">
        <f t="shared" si="85"/>
        <v>1.6313161399740304</v>
      </c>
      <c r="W114" s="8">
        <f t="shared" si="79"/>
        <v>1.9651906116517082</v>
      </c>
      <c r="X114" s="17">
        <f t="shared" si="86"/>
        <v>2.2868114498471082E-2</v>
      </c>
      <c r="Y114" s="18">
        <f t="shared" si="87"/>
        <v>1.2955027127681644</v>
      </c>
      <c r="Z114" s="8">
        <f t="shared" si="88"/>
        <v>38.943169371579515</v>
      </c>
      <c r="AA114" s="19">
        <f t="shared" si="89"/>
        <v>506.07291924366933</v>
      </c>
    </row>
    <row r="115" spans="9:27" ht="15.75" thickBot="1" x14ac:dyDescent="0.3">
      <c r="I115" s="1"/>
      <c r="J115" s="1"/>
      <c r="O115" s="14">
        <f t="shared" si="61"/>
        <v>20.5</v>
      </c>
      <c r="P115" s="20">
        <f t="shared" ref="P115:P134" si="90">P114+32.2*X114*(O115-O114)</f>
        <v>40.805529359870796</v>
      </c>
      <c r="Q115" s="15">
        <f t="shared" ref="Q115:Q134" si="91">Z115/661</f>
        <v>5.9245338426510578E-2</v>
      </c>
      <c r="R115" s="16">
        <f t="shared" ref="R115:R134" si="92">1481*Q115^2</f>
        <v>5.1983249955274928</v>
      </c>
      <c r="S115" s="28">
        <f t="shared" si="50"/>
        <v>0</v>
      </c>
      <c r="T115" s="15">
        <f t="shared" ref="T115:T134" si="93">IF(S115&lt;$P$8,S115^2/(PI()*$P$12)+$P$11,99.999)</f>
        <v>3.5066499701760935E-2</v>
      </c>
      <c r="U115" s="29">
        <f t="shared" ref="U115:U134" si="94">S115*R115*$P$13</f>
        <v>0</v>
      </c>
      <c r="V115" s="8">
        <f t="shared" ref="V115:V134" si="95">IF(T115="","",R115*T115*$P$13+$U$12*($P$10-U115))</f>
        <v>1.6414353095266061</v>
      </c>
      <c r="W115" s="8">
        <f t="shared" si="79"/>
        <v>1.959082081332175</v>
      </c>
      <c r="X115" s="17">
        <f t="shared" ref="X115:X134" si="96">IF(T115="","",(W115-V115)/$P$10)</f>
        <v>2.1756628205860884E-2</v>
      </c>
      <c r="Y115" s="18">
        <f t="shared" ref="Y115:Y134" si="97">Q115/$U$9</f>
        <v>1.3027547861306723</v>
      </c>
      <c r="Z115" s="8">
        <f t="shared" ref="Z115:Z134" si="98">P115*3600/6080+$P$14</f>
        <v>39.161168699923493</v>
      </c>
      <c r="AA115" s="19">
        <f t="shared" ref="AA115:AA134" si="99">AA114+(P115+P114)/2*(O115-O114)</f>
        <v>526.38363976274843</v>
      </c>
    </row>
    <row r="116" spans="9:27" ht="15.75" thickBot="1" x14ac:dyDescent="0.3">
      <c r="I116" s="1"/>
      <c r="J116" s="1"/>
      <c r="O116" s="14">
        <f t="shared" si="61"/>
        <v>21</v>
      </c>
      <c r="P116" s="20">
        <f t="shared" si="90"/>
        <v>41.155811073985156</v>
      </c>
      <c r="Q116" s="15">
        <f t="shared" si="91"/>
        <v>5.955911096284202E-2</v>
      </c>
      <c r="R116" s="16">
        <f t="shared" si="92"/>
        <v>5.2535330817511943</v>
      </c>
      <c r="S116" s="28">
        <f t="shared" si="50"/>
        <v>0</v>
      </c>
      <c r="T116" s="15">
        <f t="shared" si="93"/>
        <v>3.5066499701760935E-2</v>
      </c>
      <c r="U116" s="29">
        <f t="shared" si="94"/>
        <v>0</v>
      </c>
      <c r="V116" s="8">
        <f t="shared" si="95"/>
        <v>1.6511150812220972</v>
      </c>
      <c r="W116" s="8">
        <f t="shared" si="79"/>
        <v>1.9532528051848079</v>
      </c>
      <c r="X116" s="17">
        <f t="shared" si="96"/>
        <v>2.0694364654980191E-2</v>
      </c>
      <c r="Y116" s="18">
        <f t="shared" si="97"/>
        <v>1.3096543783065056</v>
      </c>
      <c r="Z116" s="8">
        <f t="shared" si="98"/>
        <v>39.368572346438576</v>
      </c>
      <c r="AA116" s="19">
        <f t="shared" si="99"/>
        <v>546.87397487121245</v>
      </c>
    </row>
    <row r="117" spans="9:27" ht="15.75" thickBot="1" x14ac:dyDescent="0.3">
      <c r="I117" s="1"/>
      <c r="J117" s="1"/>
      <c r="O117" s="14">
        <f t="shared" si="61"/>
        <v>21.5</v>
      </c>
      <c r="P117" s="20">
        <f t="shared" si="90"/>
        <v>41.488990344930336</v>
      </c>
      <c r="Q117" s="15">
        <f t="shared" si="91"/>
        <v>5.9857563610197173E-2</v>
      </c>
      <c r="R117" s="16">
        <f t="shared" si="92"/>
        <v>5.3063162515175737</v>
      </c>
      <c r="S117" s="28">
        <f t="shared" si="50"/>
        <v>0</v>
      </c>
      <c r="T117" s="15">
        <f t="shared" si="93"/>
        <v>3.5066499701760935E-2</v>
      </c>
      <c r="U117" s="29">
        <f t="shared" si="94"/>
        <v>0</v>
      </c>
      <c r="V117" s="8">
        <f t="shared" si="95"/>
        <v>1.660369686256451</v>
      </c>
      <c r="W117" s="8">
        <f t="shared" si="79"/>
        <v>1.9476921755606518</v>
      </c>
      <c r="X117" s="17">
        <f t="shared" si="96"/>
        <v>1.9679622555082245E-2</v>
      </c>
      <c r="Y117" s="18">
        <f t="shared" si="97"/>
        <v>1.3162170991061781</v>
      </c>
      <c r="Z117" s="8">
        <f t="shared" si="98"/>
        <v>39.565849546340331</v>
      </c>
      <c r="AA117" s="19">
        <f t="shared" si="99"/>
        <v>567.53517522594132</v>
      </c>
    </row>
    <row r="118" spans="9:27" ht="15.75" thickBot="1" x14ac:dyDescent="0.3">
      <c r="I118" s="1"/>
      <c r="J118" s="1"/>
      <c r="O118" s="14">
        <f t="shared" si="61"/>
        <v>22</v>
      </c>
      <c r="P118" s="20">
        <f t="shared" si="90"/>
        <v>41.805832268067164</v>
      </c>
      <c r="Q118" s="15">
        <f t="shared" si="91"/>
        <v>6.0141381719544203E-2</v>
      </c>
      <c r="R118" s="16">
        <f t="shared" si="92"/>
        <v>5.3567559625963055</v>
      </c>
      <c r="S118" s="28">
        <f t="shared" si="50"/>
        <v>0</v>
      </c>
      <c r="T118" s="15">
        <f t="shared" si="93"/>
        <v>3.5066499701760935E-2</v>
      </c>
      <c r="U118" s="29">
        <f t="shared" si="94"/>
        <v>0</v>
      </c>
      <c r="V118" s="8">
        <f t="shared" si="95"/>
        <v>1.6692134068239473</v>
      </c>
      <c r="W118" s="8">
        <f t="shared" si="79"/>
        <v>1.942389768754611</v>
      </c>
      <c r="X118" s="17">
        <f t="shared" si="96"/>
        <v>1.8710709721278338E-2</v>
      </c>
      <c r="Y118" s="18">
        <f t="shared" si="97"/>
        <v>1.3224580188166974</v>
      </c>
      <c r="Z118" s="8">
        <f t="shared" si="98"/>
        <v>39.753453316618717</v>
      </c>
      <c r="AA118" s="19">
        <f t="shared" si="99"/>
        <v>588.35888087919068</v>
      </c>
    </row>
    <row r="119" spans="9:27" ht="15.75" thickBot="1" x14ac:dyDescent="0.3">
      <c r="I119" s="1"/>
      <c r="J119" s="1"/>
      <c r="O119" s="14">
        <f t="shared" si="61"/>
        <v>22.5</v>
      </c>
      <c r="P119" s="20">
        <f t="shared" si="90"/>
        <v>42.107074694579744</v>
      </c>
      <c r="Q119" s="15">
        <f t="shared" si="91"/>
        <v>6.0411226237281797E-2</v>
      </c>
      <c r="R119" s="16">
        <f t="shared" si="92"/>
        <v>5.4049335743837181</v>
      </c>
      <c r="S119" s="28">
        <f t="shared" si="50"/>
        <v>0</v>
      </c>
      <c r="T119" s="15">
        <f t="shared" si="93"/>
        <v>3.5066499701760935E-2</v>
      </c>
      <c r="U119" s="29">
        <f t="shared" si="94"/>
        <v>0</v>
      </c>
      <c r="V119" s="8">
        <f t="shared" si="95"/>
        <v>1.6776605078708215</v>
      </c>
      <c r="W119" s="8">
        <f t="shared" si="79"/>
        <v>1.9373353668955753</v>
      </c>
      <c r="X119" s="17">
        <f t="shared" si="96"/>
        <v>1.7785949248270806E-2</v>
      </c>
      <c r="Y119" s="18">
        <f t="shared" si="97"/>
        <v>1.3283916710892696</v>
      </c>
      <c r="Z119" s="8">
        <f t="shared" si="98"/>
        <v>39.931820542843269</v>
      </c>
      <c r="AA119" s="19">
        <f t="shared" si="99"/>
        <v>609.33710761985242</v>
      </c>
    </row>
    <row r="120" spans="9:27" ht="15.75" thickBot="1" x14ac:dyDescent="0.3">
      <c r="I120" s="1"/>
      <c r="J120" s="1"/>
      <c r="O120" s="14">
        <f t="shared" si="61"/>
        <v>23</v>
      </c>
      <c r="P120" s="20">
        <f t="shared" si="90"/>
        <v>42.393428477476903</v>
      </c>
      <c r="Q120" s="15">
        <f t="shared" si="91"/>
        <v>6.0667733925600376E-2</v>
      </c>
      <c r="R120" s="16">
        <f t="shared" si="92"/>
        <v>5.4509300046474829</v>
      </c>
      <c r="S120" s="28">
        <f t="shared" si="50"/>
        <v>0</v>
      </c>
      <c r="T120" s="15">
        <f t="shared" si="93"/>
        <v>3.5066499701760935E-2</v>
      </c>
      <c r="U120" s="29">
        <f t="shared" si="94"/>
        <v>0</v>
      </c>
      <c r="V120" s="8">
        <f t="shared" si="95"/>
        <v>1.6857251769114534</v>
      </c>
      <c r="W120" s="8">
        <f t="shared" si="79"/>
        <v>1.9325189763935211</v>
      </c>
      <c r="X120" s="17">
        <f t="shared" si="96"/>
        <v>1.6903684896032035E-2</v>
      </c>
      <c r="Y120" s="18">
        <f t="shared" si="97"/>
        <v>1.334032057784855</v>
      </c>
      <c r="Z120" s="8">
        <f t="shared" si="98"/>
        <v>40.10137212482185</v>
      </c>
      <c r="AA120" s="19">
        <f t="shared" si="99"/>
        <v>630.46223341286657</v>
      </c>
    </row>
    <row r="121" spans="9:27" ht="15.75" thickBot="1" x14ac:dyDescent="0.3">
      <c r="I121" s="1"/>
      <c r="J121" s="1"/>
      <c r="O121" s="14">
        <f t="shared" si="61"/>
        <v>23.5</v>
      </c>
      <c r="P121" s="20">
        <f t="shared" si="90"/>
        <v>42.66557780430302</v>
      </c>
      <c r="Q121" s="15">
        <f t="shared" si="91"/>
        <v>6.0911517660515092E-2</v>
      </c>
      <c r="R121" s="16">
        <f t="shared" si="92"/>
        <v>5.494825428870425</v>
      </c>
      <c r="S121" s="28">
        <f t="shared" si="50"/>
        <v>0</v>
      </c>
      <c r="T121" s="15">
        <f t="shared" si="93"/>
        <v>3.5066499701760935E-2</v>
      </c>
      <c r="U121" s="29">
        <f t="shared" si="94"/>
        <v>0</v>
      </c>
      <c r="V121" s="8">
        <f t="shared" si="95"/>
        <v>1.6934214713135658</v>
      </c>
      <c r="W121" s="8">
        <f t="shared" si="79"/>
        <v>1.9279308432364837</v>
      </c>
      <c r="X121" s="17">
        <f t="shared" si="96"/>
        <v>1.6062285748145059E-2</v>
      </c>
      <c r="Y121" s="18">
        <f t="shared" si="97"/>
        <v>1.3393926555276614</v>
      </c>
      <c r="Z121" s="8">
        <f t="shared" si="98"/>
        <v>40.262513173600475</v>
      </c>
      <c r="AA121" s="19">
        <f t="shared" si="99"/>
        <v>651.72698498331158</v>
      </c>
    </row>
    <row r="122" spans="9:27" ht="15.75" thickBot="1" x14ac:dyDescent="0.3">
      <c r="I122" s="1"/>
      <c r="J122" s="1"/>
      <c r="O122" s="14">
        <f t="shared" si="61"/>
        <v>24</v>
      </c>
      <c r="P122" s="20">
        <f t="shared" si="90"/>
        <v>42.924180604848154</v>
      </c>
      <c r="Q122" s="15">
        <f t="shared" si="91"/>
        <v>6.1143166797081122E-2</v>
      </c>
      <c r="R122" s="16">
        <f t="shared" si="92"/>
        <v>5.5366990188899869</v>
      </c>
      <c r="S122" s="28">
        <f t="shared" si="50"/>
        <v>0</v>
      </c>
      <c r="T122" s="15">
        <f t="shared" si="93"/>
        <v>3.5066499701760935E-2</v>
      </c>
      <c r="U122" s="29">
        <f t="shared" si="94"/>
        <v>0</v>
      </c>
      <c r="V122" s="8">
        <f t="shared" si="95"/>
        <v>1.7007632724732289</v>
      </c>
      <c r="W122" s="8">
        <f t="shared" si="79"/>
        <v>1.923561465418296</v>
      </c>
      <c r="X122" s="17">
        <f t="shared" si="96"/>
        <v>1.5260150201716925E-2</v>
      </c>
      <c r="Y122" s="18">
        <f t="shared" si="97"/>
        <v>1.3444864237359193</v>
      </c>
      <c r="Z122" s="8">
        <f t="shared" si="98"/>
        <v>40.41563325287062</v>
      </c>
      <c r="AA122" s="19">
        <f t="shared" si="99"/>
        <v>673.1244245855994</v>
      </c>
    </row>
    <row r="123" spans="9:27" ht="15.75" thickBot="1" x14ac:dyDescent="0.3">
      <c r="I123" s="1"/>
      <c r="J123" s="1"/>
      <c r="O123" s="14">
        <f t="shared" si="61"/>
        <v>24.5</v>
      </c>
      <c r="P123" s="20">
        <f t="shared" si="90"/>
        <v>43.169869023095799</v>
      </c>
      <c r="Q123" s="15">
        <f t="shared" si="91"/>
        <v>6.1363247592151268E-2</v>
      </c>
      <c r="R123" s="16">
        <f t="shared" si="92"/>
        <v>5.5766287176374298</v>
      </c>
      <c r="S123" s="28">
        <f t="shared" si="50"/>
        <v>0</v>
      </c>
      <c r="T123" s="15">
        <f t="shared" si="93"/>
        <v>3.5066499701760935E-2</v>
      </c>
      <c r="U123" s="29">
        <f t="shared" si="94"/>
        <v>0</v>
      </c>
      <c r="V123" s="8">
        <f t="shared" si="95"/>
        <v>1.7077642463193219</v>
      </c>
      <c r="W123" s="8">
        <f t="shared" si="79"/>
        <v>1.9194016027646765</v>
      </c>
      <c r="X123" s="17">
        <f t="shared" si="96"/>
        <v>1.4495709345572236E-2</v>
      </c>
      <c r="Y123" s="18">
        <f t="shared" si="97"/>
        <v>1.3493258139179622</v>
      </c>
      <c r="Z123" s="8">
        <f t="shared" si="98"/>
        <v>40.561106658411987</v>
      </c>
      <c r="AA123" s="19">
        <f t="shared" si="99"/>
        <v>694.64793699258541</v>
      </c>
    </row>
    <row r="124" spans="9:27" ht="15.75" thickBot="1" x14ac:dyDescent="0.3">
      <c r="I124" s="1"/>
      <c r="J124" s="1"/>
      <c r="O124" s="14">
        <f t="shared" si="61"/>
        <v>25</v>
      </c>
      <c r="P124" s="20">
        <f t="shared" si="90"/>
        <v>43.403249943559516</v>
      </c>
      <c r="Q124" s="15">
        <f t="shared" si="91"/>
        <v>6.1572303675853535E-2</v>
      </c>
      <c r="R124" s="16">
        <f t="shared" si="92"/>
        <v>5.6146910469082112</v>
      </c>
      <c r="S124" s="28">
        <f t="shared" si="50"/>
        <v>0</v>
      </c>
      <c r="T124" s="15">
        <f t="shared" si="93"/>
        <v>3.5066499701760935E-2</v>
      </c>
      <c r="U124" s="29">
        <f t="shared" si="94"/>
        <v>0</v>
      </c>
      <c r="V124" s="8">
        <f t="shared" si="95"/>
        <v>1.714437809609433</v>
      </c>
      <c r="W124" s="8">
        <f t="shared" si="79"/>
        <v>1.9154422844110337</v>
      </c>
      <c r="X124" s="17">
        <f t="shared" si="96"/>
        <v>1.3767429780931553E-2</v>
      </c>
      <c r="Y124" s="18">
        <f t="shared" si="97"/>
        <v>1.3539227800396207</v>
      </c>
      <c r="Z124" s="8">
        <f t="shared" si="98"/>
        <v>40.699292729739184</v>
      </c>
      <c r="AA124" s="19">
        <f t="shared" si="99"/>
        <v>716.29121673424925</v>
      </c>
    </row>
    <row r="125" spans="9:27" ht="15.75" thickBot="1" x14ac:dyDescent="0.3">
      <c r="I125" s="1"/>
      <c r="J125" s="1"/>
      <c r="O125" s="14">
        <f t="shared" si="61"/>
        <v>25.5</v>
      </c>
      <c r="P125" s="20">
        <f t="shared" si="90"/>
        <v>43.624905563032513</v>
      </c>
      <c r="Q125" s="15">
        <f t="shared" si="91"/>
        <v>6.1770856563748373E-2</v>
      </c>
      <c r="R125" s="16">
        <f t="shared" si="92"/>
        <v>5.6509609452369993</v>
      </c>
      <c r="S125" s="28">
        <f t="shared" si="50"/>
        <v>0</v>
      </c>
      <c r="T125" s="15">
        <f t="shared" si="93"/>
        <v>3.5066499701760935E-2</v>
      </c>
      <c r="U125" s="29">
        <f t="shared" si="94"/>
        <v>0</v>
      </c>
      <c r="V125" s="8">
        <f t="shared" si="95"/>
        <v>1.7207971015040795</v>
      </c>
      <c r="W125" s="8">
        <f t="shared" si="79"/>
        <v>1.9116748141705626</v>
      </c>
      <c r="X125" s="17">
        <f t="shared" si="96"/>
        <v>1.3073815936060489E-2</v>
      </c>
      <c r="Y125" s="18">
        <f t="shared" si="97"/>
        <v>1.3582887897861247</v>
      </c>
      <c r="Z125" s="8">
        <f t="shared" si="98"/>
        <v>40.830536188637673</v>
      </c>
      <c r="AA125" s="19">
        <f t="shared" si="99"/>
        <v>738.04825561089729</v>
      </c>
    </row>
    <row r="126" spans="9:27" ht="15.75" thickBot="1" x14ac:dyDescent="0.3">
      <c r="I126" s="1"/>
      <c r="J126" s="1"/>
      <c r="O126" s="14">
        <f t="shared" si="61"/>
        <v>26</v>
      </c>
      <c r="P126" s="20">
        <f t="shared" si="90"/>
        <v>43.835393999603085</v>
      </c>
      <c r="Q126" s="15">
        <f t="shared" si="91"/>
        <v>6.1959406202367596E-2</v>
      </c>
      <c r="R126" s="16">
        <f t="shared" si="92"/>
        <v>5.6855116331029327</v>
      </c>
      <c r="S126" s="28">
        <f t="shared" si="50"/>
        <v>0</v>
      </c>
      <c r="T126" s="15">
        <f t="shared" si="93"/>
        <v>3.5066499701760935E-2</v>
      </c>
      <c r="U126" s="29">
        <f t="shared" si="94"/>
        <v>0</v>
      </c>
      <c r="V126" s="8">
        <f t="shared" si="95"/>
        <v>1.7268549599328116</v>
      </c>
      <c r="W126" s="8">
        <f t="shared" si="79"/>
        <v>1.9080907740161528</v>
      </c>
      <c r="X126" s="17">
        <f t="shared" si="96"/>
        <v>1.2413411923516523E-2</v>
      </c>
      <c r="Y126" s="18">
        <f t="shared" si="97"/>
        <v>1.3624348365580423</v>
      </c>
      <c r="Z126" s="8">
        <f t="shared" si="98"/>
        <v>40.955167499764983</v>
      </c>
      <c r="AA126" s="19">
        <f t="shared" si="99"/>
        <v>759.91333050155617</v>
      </c>
    </row>
    <row r="127" spans="9:27" ht="15.75" thickBot="1" x14ac:dyDescent="0.3">
      <c r="I127" s="1"/>
      <c r="J127" s="1"/>
      <c r="O127" s="14">
        <f t="shared" si="61"/>
        <v>26.5</v>
      </c>
      <c r="P127" s="20">
        <f t="shared" si="90"/>
        <v>44.035249931571698</v>
      </c>
      <c r="Q127" s="15">
        <f t="shared" si="91"/>
        <v>6.2138431541538468E-2</v>
      </c>
      <c r="R127" s="16">
        <f t="shared" si="92"/>
        <v>5.7184145028492868</v>
      </c>
      <c r="S127" s="28">
        <f t="shared" si="50"/>
        <v>0</v>
      </c>
      <c r="T127" s="15">
        <f t="shared" si="93"/>
        <v>3.5066499701760935E-2</v>
      </c>
      <c r="U127" s="29">
        <f t="shared" si="94"/>
        <v>0</v>
      </c>
      <c r="V127" s="8">
        <f t="shared" si="95"/>
        <v>1.7326239022935495</v>
      </c>
      <c r="W127" s="8">
        <f t="shared" si="79"/>
        <v>1.904682025884519</v>
      </c>
      <c r="X127" s="17">
        <f t="shared" si="96"/>
        <v>1.1784802985682843E-2</v>
      </c>
      <c r="Y127" s="18">
        <f t="shared" si="97"/>
        <v>1.366371452056202</v>
      </c>
      <c r="Z127" s="8">
        <f t="shared" si="98"/>
        <v>41.073503248956925</v>
      </c>
      <c r="AA127" s="19">
        <f t="shared" si="99"/>
        <v>781.88099148434992</v>
      </c>
    </row>
    <row r="128" spans="9:27" ht="15.75" thickBot="1" x14ac:dyDescent="0.3">
      <c r="I128" s="1"/>
      <c r="J128" s="1"/>
      <c r="O128" s="14">
        <f t="shared" si="61"/>
        <v>27</v>
      </c>
      <c r="P128" s="20">
        <f t="shared" si="90"/>
        <v>44.224985259641194</v>
      </c>
      <c r="Q128" s="15">
        <f t="shared" si="91"/>
        <v>6.2308391127555027E-2</v>
      </c>
      <c r="R128" s="16">
        <f t="shared" si="92"/>
        <v>5.7497390308633838</v>
      </c>
      <c r="S128" s="28">
        <f t="shared" si="50"/>
        <v>0</v>
      </c>
      <c r="T128" s="15">
        <f t="shared" si="93"/>
        <v>3.5066499701760935E-2</v>
      </c>
      <c r="U128" s="29">
        <f t="shared" si="94"/>
        <v>0</v>
      </c>
      <c r="V128" s="8">
        <f t="shared" si="95"/>
        <v>1.7381161100548703</v>
      </c>
      <c r="W128" s="8">
        <f t="shared" si="79"/>
        <v>1.9014407119960226</v>
      </c>
      <c r="X128" s="17">
        <f t="shared" si="96"/>
        <v>1.11866165713118E-2</v>
      </c>
      <c r="Y128" s="18">
        <f t="shared" si="97"/>
        <v>1.3701087193250272</v>
      </c>
      <c r="Z128" s="8">
        <f t="shared" si="98"/>
        <v>41.185846535313871</v>
      </c>
      <c r="AA128" s="19">
        <f t="shared" si="99"/>
        <v>803.94605028215312</v>
      </c>
    </row>
    <row r="129" spans="9:27" ht="15.75" thickBot="1" x14ac:dyDescent="0.3">
      <c r="I129" s="1"/>
      <c r="J129" s="1"/>
      <c r="O129" s="14">
        <f t="shared" si="61"/>
        <v>27.5</v>
      </c>
      <c r="P129" s="20">
        <f t="shared" si="90"/>
        <v>44.405089786439312</v>
      </c>
      <c r="Q129" s="15">
        <f t="shared" si="91"/>
        <v>6.2469723711875327E-2</v>
      </c>
      <c r="R129" s="16">
        <f t="shared" si="92"/>
        <v>5.7795527097249355</v>
      </c>
      <c r="S129" s="28">
        <f t="shared" si="50"/>
        <v>0</v>
      </c>
      <c r="T129" s="15">
        <f t="shared" si="93"/>
        <v>3.5066499701760935E-2</v>
      </c>
      <c r="U129" s="29">
        <f t="shared" si="94"/>
        <v>0</v>
      </c>
      <c r="V129" s="8">
        <f t="shared" si="95"/>
        <v>1.7433434168594051</v>
      </c>
      <c r="W129" s="8">
        <f t="shared" si="79"/>
        <v>1.8983592538690344</v>
      </c>
      <c r="X129" s="17">
        <f t="shared" si="96"/>
        <v>1.0617523082851322E-2</v>
      </c>
      <c r="Y129" s="18">
        <f t="shared" si="97"/>
        <v>1.3736562861372719</v>
      </c>
      <c r="Z129" s="8">
        <f t="shared" si="98"/>
        <v>41.292487373549591</v>
      </c>
      <c r="AA129" s="19">
        <f t="shared" si="99"/>
        <v>826.10356904367325</v>
      </c>
    </row>
    <row r="130" spans="9:27" ht="15.75" thickBot="1" x14ac:dyDescent="0.3">
      <c r="I130" s="1"/>
      <c r="J130" s="1"/>
      <c r="O130" s="14">
        <f t="shared" si="61"/>
        <v>28</v>
      </c>
      <c r="P130" s="20">
        <f t="shared" si="90"/>
        <v>44.576031908073219</v>
      </c>
      <c r="Q130" s="15">
        <f t="shared" si="91"/>
        <v>6.2622848870596673E-2</v>
      </c>
      <c r="R130" s="16">
        <f t="shared" si="92"/>
        <v>5.8079209981916646</v>
      </c>
      <c r="S130" s="28">
        <f t="shared" si="50"/>
        <v>0</v>
      </c>
      <c r="T130" s="15">
        <f t="shared" si="93"/>
        <v>3.5066499701760935E-2</v>
      </c>
      <c r="U130" s="29">
        <f t="shared" si="94"/>
        <v>0</v>
      </c>
      <c r="V130" s="8">
        <f t="shared" si="95"/>
        <v>1.7483172997546954</v>
      </c>
      <c r="W130" s="8">
        <f t="shared" si="79"/>
        <v>1.8954303501934895</v>
      </c>
      <c r="X130" s="17">
        <f t="shared" si="96"/>
        <v>1.0076236331424251E-2</v>
      </c>
      <c r="Y130" s="18">
        <f t="shared" si="97"/>
        <v>1.3770233786157577</v>
      </c>
      <c r="Z130" s="8">
        <f t="shared" si="98"/>
        <v>41.393703103464404</v>
      </c>
      <c r="AA130" s="19">
        <f t="shared" si="99"/>
        <v>848.34884946730142</v>
      </c>
    </row>
    <row r="131" spans="9:27" ht="15.75" thickBot="1" x14ac:dyDescent="0.3">
      <c r="I131" s="1"/>
      <c r="J131" s="1"/>
      <c r="O131" s="14">
        <f t="shared" si="61"/>
        <v>28.5</v>
      </c>
      <c r="P131" s="20">
        <f t="shared" si="90"/>
        <v>44.738259313009152</v>
      </c>
      <c r="Q131" s="15">
        <f t="shared" si="91"/>
        <v>6.2768167630492311E-2</v>
      </c>
      <c r="R131" s="16">
        <f t="shared" si="92"/>
        <v>5.8349072870482717</v>
      </c>
      <c r="S131" s="28">
        <f t="shared" si="50"/>
        <v>0</v>
      </c>
      <c r="T131" s="15">
        <f t="shared" si="93"/>
        <v>3.5066499701760935E-2</v>
      </c>
      <c r="U131" s="29">
        <f t="shared" si="94"/>
        <v>0</v>
      </c>
      <c r="V131" s="8">
        <f t="shared" si="95"/>
        <v>1.7530488732054046</v>
      </c>
      <c r="W131" s="8">
        <f t="shared" si="79"/>
        <v>1.8926469737146725</v>
      </c>
      <c r="X131" s="17">
        <f t="shared" si="96"/>
        <v>9.5615137335115005E-3</v>
      </c>
      <c r="Y131" s="18">
        <f t="shared" si="97"/>
        <v>1.380218814999389</v>
      </c>
      <c r="Z131" s="8">
        <f t="shared" si="98"/>
        <v>41.489758803755421</v>
      </c>
      <c r="AA131" s="19">
        <f t="shared" si="99"/>
        <v>870.67742227257202</v>
      </c>
    </row>
    <row r="132" spans="9:27" ht="15.75" thickBot="1" x14ac:dyDescent="0.3">
      <c r="I132" s="1"/>
      <c r="J132" s="1"/>
      <c r="O132" s="14">
        <f t="shared" si="61"/>
        <v>29</v>
      </c>
      <c r="P132" s="20">
        <f t="shared" si="90"/>
        <v>44.892199684118687</v>
      </c>
      <c r="Q132" s="15">
        <f t="shared" si="91"/>
        <v>6.2906063097884796E-2</v>
      </c>
      <c r="R132" s="16">
        <f t="shared" si="92"/>
        <v>5.8605728789975684</v>
      </c>
      <c r="S132" s="28">
        <f t="shared" si="50"/>
        <v>0</v>
      </c>
      <c r="T132" s="15">
        <f t="shared" si="93"/>
        <v>3.5066499701760935E-2</v>
      </c>
      <c r="U132" s="29">
        <f t="shared" si="94"/>
        <v>0</v>
      </c>
      <c r="V132" s="8">
        <f t="shared" si="95"/>
        <v>1.7575488855675823</v>
      </c>
      <c r="W132" s="8">
        <f t="shared" si="79"/>
        <v>1.8900023672652129</v>
      </c>
      <c r="X132" s="17">
        <f t="shared" si="96"/>
        <v>9.0721562806596306E-3</v>
      </c>
      <c r="Y132" s="18">
        <f t="shared" si="97"/>
        <v>1.3832510194715455</v>
      </c>
      <c r="Z132" s="8">
        <f t="shared" si="98"/>
        <v>41.580907707701854</v>
      </c>
      <c r="AA132" s="19">
        <f t="shared" si="99"/>
        <v>893.08503702185396</v>
      </c>
    </row>
    <row r="133" spans="9:27" ht="15.75" thickBot="1" x14ac:dyDescent="0.3">
      <c r="I133" s="1"/>
      <c r="J133" s="1"/>
      <c r="O133" s="14">
        <f t="shared" si="61"/>
        <v>29.5</v>
      </c>
      <c r="P133" s="20">
        <f t="shared" si="90"/>
        <v>45.03826140023731</v>
      </c>
      <c r="Q133" s="15">
        <f t="shared" si="91"/>
        <v>6.3036901087082556E-2</v>
      </c>
      <c r="R133" s="16">
        <f t="shared" si="92"/>
        <v>5.8849769809193546</v>
      </c>
      <c r="S133" s="28">
        <f t="shared" si="50"/>
        <v>0</v>
      </c>
      <c r="T133" s="15">
        <f t="shared" si="93"/>
        <v>3.5066499701760935E-2</v>
      </c>
      <c r="U133" s="29">
        <f t="shared" si="94"/>
        <v>0</v>
      </c>
      <c r="V133" s="8">
        <f t="shared" si="95"/>
        <v>1.7618277177313926</v>
      </c>
      <c r="W133" s="8">
        <f t="shared" si="79"/>
        <v>1.8874900390709215</v>
      </c>
      <c r="X133" s="17">
        <f t="shared" si="96"/>
        <v>8.6070083109266397E-3</v>
      </c>
      <c r="Y133" s="18">
        <f t="shared" si="97"/>
        <v>1.3861280359788699</v>
      </c>
      <c r="Z133" s="8">
        <f t="shared" si="98"/>
        <v>41.667391618561567</v>
      </c>
      <c r="AA133" s="19">
        <f t="shared" si="99"/>
        <v>915.56765229294297</v>
      </c>
    </row>
    <row r="134" spans="9:27" ht="15.75" thickBot="1" x14ac:dyDescent="0.3">
      <c r="O134" s="14">
        <f t="shared" si="61"/>
        <v>30</v>
      </c>
      <c r="P134" s="20">
        <f t="shared" si="90"/>
        <v>45.176834234043227</v>
      </c>
      <c r="Q134" s="15">
        <f t="shared" si="91"/>
        <v>6.3161030745520055E-2</v>
      </c>
      <c r="R134" s="16">
        <f t="shared" si="92"/>
        <v>5.9081767069629008</v>
      </c>
      <c r="S134" s="28">
        <f t="shared" si="50"/>
        <v>0</v>
      </c>
      <c r="T134" s="15">
        <f t="shared" si="93"/>
        <v>3.5066499701760935E-2</v>
      </c>
      <c r="U134" s="29">
        <f t="shared" si="94"/>
        <v>0</v>
      </c>
      <c r="V134" s="8">
        <f t="shared" si="95"/>
        <v>1.7658953836633273</v>
      </c>
      <c r="W134" s="8">
        <f t="shared" si="79"/>
        <v>1.8851037574444232</v>
      </c>
      <c r="X134" s="17">
        <f t="shared" si="96"/>
        <v>8.1649571082942352E-3</v>
      </c>
      <c r="Y134" s="18">
        <f t="shared" si="97"/>
        <v>1.3888575419775706</v>
      </c>
      <c r="Z134" s="8">
        <f t="shared" si="98"/>
        <v>41.749441322788755</v>
      </c>
      <c r="AA134" s="19">
        <f t="shared" si="99"/>
        <v>938.12142620151315</v>
      </c>
    </row>
  </sheetData>
  <sortState ref="I3:J122">
    <sortCondition ref="J3:J122"/>
  </sortState>
  <mergeCells count="1">
    <mergeCell ref="O7:Q7"/>
  </mergeCells>
  <conditionalFormatting sqref="Y74:Y134">
    <cfRule type="colorScale" priority="24">
      <colorScale>
        <cfvo type="min"/>
        <cfvo type="num" val="1"/>
        <cfvo type="num" val="1.2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num" val="1.2"/>
        <color rgb="FFFF7128"/>
        <color rgb="FF00B050"/>
      </colorScale>
    </cfRule>
  </conditionalFormatting>
  <conditionalFormatting sqref="Y74">
    <cfRule type="colorScale" priority="29">
      <colorScale>
        <cfvo type="min"/>
        <cfvo type="num" val="1.5"/>
        <color rgb="FFFF7128"/>
        <color rgb="FF00B050"/>
      </colorScale>
    </cfRule>
  </conditionalFormatting>
  <conditionalFormatting sqref="AA74:AA1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13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4:V13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134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AB20:AB68">
    <cfRule type="colorScale" priority="9">
      <colorScale>
        <cfvo type="num" val="2"/>
        <cfvo type="num" val="3"/>
        <cfvo type="num" val="6"/>
        <color rgb="FFF8696B"/>
        <color rgb="FFFFEB84"/>
        <color rgb="FF63BE7B"/>
      </colorScale>
    </cfRule>
  </conditionalFormatting>
  <conditionalFormatting sqref="AB18:AB68">
    <cfRule type="colorScale" priority="3">
      <colorScale>
        <cfvo type="num" val="1"/>
        <cfvo type="num" val="3"/>
        <cfvo type="num" val="6"/>
        <color rgb="FFF8696B"/>
        <color rgb="FFFFEB84"/>
        <color rgb="FF63BE7B"/>
      </colorScale>
    </cfRule>
  </conditionalFormatting>
  <conditionalFormatting sqref="W74:W1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68">
    <cfRule type="colorScale" priority="152">
      <colorScale>
        <cfvo type="min"/>
        <cfvo type="num" val="1"/>
        <cfvo type="num" val="1.4"/>
        <color rgb="FFF8696B"/>
        <color rgb="FFFFEB84"/>
        <color rgb="FF63BE7B"/>
      </colorScale>
    </cfRule>
    <cfRule type="colorScale" priority="153">
      <colorScale>
        <cfvo type="min"/>
        <cfvo type="num" val="1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6:X68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Y68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6:Z68">
    <cfRule type="colorScale" priority="162">
      <colorScale>
        <cfvo type="num" val="0"/>
        <cfvo type="num" val="1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68">
    <cfRule type="colorScale" priority="166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6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6:T68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68">
    <cfRule type="colorScale" priority="174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6:AC68">
    <cfRule type="colorScale" priority="178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6:AD6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1:AD68">
    <cfRule type="colorScale" priority="184">
      <colorScale>
        <cfvo type="num" val="0"/>
        <cfvo type="num" val="300"/>
        <cfvo type="max"/>
        <color rgb="FFF8696B"/>
        <color rgb="FFFFEB84"/>
        <color rgb="FF63BE7B"/>
      </colorScale>
    </cfRule>
  </conditionalFormatting>
  <conditionalFormatting sqref="AB16:AB68">
    <cfRule type="colorScale" priority="186">
      <colorScale>
        <cfvo type="num" val="1"/>
        <cfvo type="num" val="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22"/>
  <sheetViews>
    <sheetView workbookViewId="0">
      <selection activeCell="L15" sqref="L15"/>
    </sheetView>
  </sheetViews>
  <sheetFormatPr defaultRowHeight="15" x14ac:dyDescent="0.25"/>
  <cols>
    <col min="1" max="1" width="15.28515625" bestFit="1" customWidth="1"/>
    <col min="2" max="2" width="21.5703125" customWidth="1"/>
    <col min="3" max="3" width="15.85546875" bestFit="1" customWidth="1"/>
    <col min="4" max="4" width="18" bestFit="1" customWidth="1"/>
    <col min="5" max="5" width="11.140625" bestFit="1" customWidth="1"/>
    <col min="6" max="6" width="18.28515625" style="40" bestFit="1" customWidth="1"/>
    <col min="7" max="7" width="22" bestFit="1" customWidth="1"/>
    <col min="8" max="8" width="5.85546875" bestFit="1" customWidth="1"/>
    <col min="9" max="9" width="20.5703125" bestFit="1" customWidth="1"/>
    <col min="10" max="10" width="20.85546875" bestFit="1" customWidth="1"/>
    <col min="11" max="11" width="6" bestFit="1" customWidth="1"/>
    <col min="12" max="12" width="21.140625" bestFit="1" customWidth="1"/>
    <col min="16" max="16" width="11.28515625" bestFit="1" customWidth="1"/>
  </cols>
  <sheetData>
    <row r="1" spans="1:16" x14ac:dyDescent="0.25">
      <c r="A1" s="59" t="s">
        <v>150</v>
      </c>
      <c r="B1" s="60" t="s">
        <v>151</v>
      </c>
      <c r="C1" s="60" t="s">
        <v>152</v>
      </c>
      <c r="D1" s="60" t="s">
        <v>153</v>
      </c>
      <c r="E1" s="60" t="s">
        <v>154</v>
      </c>
      <c r="F1" s="63" t="s">
        <v>165</v>
      </c>
      <c r="G1" s="59" t="s">
        <v>162</v>
      </c>
      <c r="H1" s="61">
        <f>IF($A2*$M2+2&gt;$D2*$M3,$A2*$M2+2,$D2*$M3)</f>
        <v>9.7160000000000011</v>
      </c>
      <c r="I1" s="61" t="str">
        <f>IF($A2*$M2+2.5&gt;$D2*$M3,"Passenger Dominated","Cargo Dominated")</f>
        <v>Passenger Dominated</v>
      </c>
      <c r="J1" s="59"/>
      <c r="K1" s="62"/>
      <c r="L1" s="59"/>
      <c r="M1" s="60" t="s">
        <v>137</v>
      </c>
      <c r="N1" s="60" t="s">
        <v>136</v>
      </c>
      <c r="O1" s="60" t="s">
        <v>138</v>
      </c>
      <c r="P1" s="63" t="s">
        <v>155</v>
      </c>
    </row>
    <row r="2" spans="1:16" x14ac:dyDescent="0.25">
      <c r="A2" s="64">
        <v>4</v>
      </c>
      <c r="B2" s="65">
        <v>13</v>
      </c>
      <c r="C2" s="66">
        <f>$B2*$A2</f>
        <v>52</v>
      </c>
      <c r="D2" s="65">
        <v>2</v>
      </c>
      <c r="E2" s="65">
        <v>2</v>
      </c>
      <c r="F2" s="74">
        <f>E2*D2</f>
        <v>4</v>
      </c>
      <c r="G2" s="67" t="s">
        <v>163</v>
      </c>
      <c r="H2" s="68">
        <f>IF(($B$2*(2.179))&gt;($E$2*$N$3),$B$2*(2.179),$E$2*$N$3)</f>
        <v>28.326999999999998</v>
      </c>
      <c r="I2" s="68" t="str">
        <f>IF(($B$2*(2.5))&gt;($E$2*$N$3),"Passenger Dominated","Cargo Dominated")</f>
        <v>Passenger Dominated</v>
      </c>
      <c r="J2" s="67" t="s">
        <v>156</v>
      </c>
      <c r="K2" s="69">
        <f>(P2*$B2*$A2)/16</f>
        <v>6.5</v>
      </c>
      <c r="L2" s="67" t="s">
        <v>157</v>
      </c>
      <c r="M2" s="70">
        <v>1.929</v>
      </c>
      <c r="N2" s="68">
        <f>M2</f>
        <v>1.929</v>
      </c>
      <c r="O2" s="68">
        <f>M2</f>
        <v>1.929</v>
      </c>
      <c r="P2" s="69">
        <v>2</v>
      </c>
    </row>
    <row r="3" spans="1:16" x14ac:dyDescent="0.25">
      <c r="A3" s="40"/>
      <c r="B3" s="40"/>
      <c r="C3" s="40"/>
      <c r="D3" s="40"/>
      <c r="E3" s="40"/>
      <c r="G3" s="67" t="s">
        <v>164</v>
      </c>
      <c r="H3" s="68">
        <f>$O$3+$O$2+2</f>
        <v>6.4290000000000003</v>
      </c>
      <c r="I3" s="68"/>
      <c r="J3" s="67" t="s">
        <v>158</v>
      </c>
      <c r="K3" s="69">
        <f>$E2*$D2*P3/16</f>
        <v>2</v>
      </c>
      <c r="L3" s="72" t="s">
        <v>159</v>
      </c>
      <c r="M3" s="65">
        <v>2.5</v>
      </c>
      <c r="N3" s="65">
        <v>4</v>
      </c>
      <c r="O3" s="65">
        <v>2.5</v>
      </c>
      <c r="P3" s="74">
        <v>8</v>
      </c>
    </row>
    <row r="4" spans="1:16" x14ac:dyDescent="0.25">
      <c r="A4" s="40"/>
      <c r="B4" s="40"/>
      <c r="C4" s="40"/>
      <c r="D4" s="40"/>
      <c r="E4" s="40"/>
      <c r="G4" s="72"/>
      <c r="H4" s="66"/>
      <c r="I4" s="66"/>
      <c r="J4" s="67" t="s">
        <v>160</v>
      </c>
      <c r="K4" s="69">
        <f>K3+(K2/2)+K1</f>
        <v>5.25</v>
      </c>
      <c r="L4" s="40"/>
    </row>
    <row r="5" spans="1:16" x14ac:dyDescent="0.25">
      <c r="A5" s="40"/>
      <c r="B5" s="40"/>
      <c r="C5" s="40"/>
      <c r="D5" s="40"/>
      <c r="E5" s="40"/>
      <c r="G5" s="59" t="s">
        <v>166</v>
      </c>
      <c r="H5" s="62">
        <v>0.5</v>
      </c>
      <c r="I5" s="75"/>
      <c r="J5" s="72" t="s">
        <v>161</v>
      </c>
      <c r="K5" s="74">
        <f>SUM(K1:K3)</f>
        <v>8.5</v>
      </c>
      <c r="L5" s="40"/>
    </row>
    <row r="6" spans="1:16" x14ac:dyDescent="0.25">
      <c r="A6" s="40"/>
      <c r="B6" s="40"/>
      <c r="C6" s="40"/>
      <c r="D6" s="40"/>
      <c r="E6" s="40"/>
      <c r="G6" s="67" t="s">
        <v>176</v>
      </c>
      <c r="H6" s="71">
        <v>20</v>
      </c>
      <c r="I6" s="75"/>
      <c r="J6" s="40"/>
      <c r="K6" s="40"/>
      <c r="L6" s="40"/>
      <c r="M6" s="40"/>
      <c r="N6" s="40"/>
    </row>
    <row r="7" spans="1:16" x14ac:dyDescent="0.25">
      <c r="C7" t="s">
        <v>174</v>
      </c>
      <c r="G7" s="67" t="s">
        <v>175</v>
      </c>
      <c r="H7" s="71">
        <v>5</v>
      </c>
      <c r="I7" s="75"/>
    </row>
    <row r="8" spans="1:16" x14ac:dyDescent="0.25">
      <c r="G8" s="72" t="s">
        <v>167</v>
      </c>
      <c r="H8" s="73">
        <v>1</v>
      </c>
    </row>
    <row r="9" spans="1:16" x14ac:dyDescent="0.25">
      <c r="G9" s="59" t="s">
        <v>168</v>
      </c>
      <c r="H9" s="76">
        <f>H5+H1</f>
        <v>10.216000000000001</v>
      </c>
    </row>
    <row r="10" spans="1:16" x14ac:dyDescent="0.25">
      <c r="G10" s="67" t="s">
        <v>169</v>
      </c>
      <c r="H10" s="69">
        <f>H6+H2+H7</f>
        <v>53.326999999999998</v>
      </c>
    </row>
    <row r="11" spans="1:16" x14ac:dyDescent="0.25">
      <c r="G11" s="72" t="s">
        <v>170</v>
      </c>
      <c r="H11" s="74">
        <f>H3+H8</f>
        <v>7.4290000000000003</v>
      </c>
    </row>
    <row r="13" spans="1:16" x14ac:dyDescent="0.25">
      <c r="A13" s="89" t="s">
        <v>177</v>
      </c>
      <c r="B13" s="90"/>
      <c r="C13" s="91"/>
      <c r="D13" s="89" t="s">
        <v>197</v>
      </c>
      <c r="E13" s="90"/>
      <c r="F13" s="92"/>
    </row>
    <row r="14" spans="1:16" x14ac:dyDescent="0.25">
      <c r="A14" s="81" t="s">
        <v>195</v>
      </c>
      <c r="B14" s="82" t="s">
        <v>196</v>
      </c>
      <c r="C14" s="82" t="s">
        <v>116</v>
      </c>
      <c r="D14" s="59" t="s">
        <v>182</v>
      </c>
      <c r="E14" s="62">
        <v>1.25</v>
      </c>
      <c r="F14" s="63" t="s">
        <v>190</v>
      </c>
    </row>
    <row r="15" spans="1:16" x14ac:dyDescent="0.25">
      <c r="A15" s="67" t="s">
        <v>178</v>
      </c>
      <c r="B15" s="68">
        <f>((H9+E14)/2)*CRUD_LENGTH+2*((E15+H11)/2)*CRUD_LENGTH+((E14+H9)/2)*SQRT((H11-E15)^2+CRUD_LENGTH^2)</f>
        <v>426.68189872303151</v>
      </c>
      <c r="C15" s="68">
        <f>SWET_tail/144</f>
        <v>2.9630687411321635</v>
      </c>
      <c r="D15" s="67" t="s">
        <v>183</v>
      </c>
      <c r="E15" s="71">
        <v>2.25</v>
      </c>
      <c r="F15" s="69">
        <f>E14*E15</f>
        <v>2.8125</v>
      </c>
    </row>
    <row r="16" spans="1:16" x14ac:dyDescent="0.25">
      <c r="A16" s="67" t="s">
        <v>181</v>
      </c>
      <c r="B16" s="68">
        <f>4*H2*H11</f>
        <v>841.76513199999999</v>
      </c>
      <c r="C16" s="68">
        <f>SWET_mid/144</f>
        <v>5.8455911944444443</v>
      </c>
      <c r="D16" s="67" t="s">
        <v>184</v>
      </c>
      <c r="E16" s="71">
        <v>1</v>
      </c>
      <c r="F16" s="83" t="s">
        <v>191</v>
      </c>
    </row>
    <row r="17" spans="1:6" x14ac:dyDescent="0.25">
      <c r="A17" s="67" t="s">
        <v>179</v>
      </c>
      <c r="B17" s="68">
        <f>SQRT(CRUD_LENGTH_nose^2+(H9/2)^2)*H11+SQRT(CRUD_LENGTH_nose^2+(H11/2)^2)*H9</f>
        <v>116.73438859424775</v>
      </c>
      <c r="C17" s="68">
        <f>SWET_nose/144</f>
        <v>0.81065547634894264</v>
      </c>
      <c r="D17" s="67" t="s">
        <v>185</v>
      </c>
      <c r="E17" s="71">
        <v>2</v>
      </c>
      <c r="F17" s="69">
        <f>E16*E17</f>
        <v>2</v>
      </c>
    </row>
    <row r="18" spans="1:6" x14ac:dyDescent="0.25">
      <c r="A18" s="72" t="s">
        <v>180</v>
      </c>
      <c r="B18" s="66">
        <f>SUM(B15:B17)</f>
        <v>1385.1814193172793</v>
      </c>
      <c r="C18" s="66">
        <f>SWET_fuse/144</f>
        <v>9.61931541192555</v>
      </c>
      <c r="D18" s="67" t="s">
        <v>186</v>
      </c>
      <c r="E18" s="71">
        <v>1.5</v>
      </c>
      <c r="F18" s="83" t="s">
        <v>192</v>
      </c>
    </row>
    <row r="19" spans="1:6" x14ac:dyDescent="0.25">
      <c r="D19" s="67" t="s">
        <v>187</v>
      </c>
      <c r="E19" s="71">
        <v>0.5</v>
      </c>
      <c r="F19" s="69">
        <f>E18*E19</f>
        <v>0.75</v>
      </c>
    </row>
    <row r="20" spans="1:6" x14ac:dyDescent="0.25">
      <c r="D20" s="67" t="s">
        <v>188</v>
      </c>
      <c r="E20" s="71">
        <v>1.25</v>
      </c>
      <c r="F20" s="83" t="s">
        <v>193</v>
      </c>
    </row>
    <row r="21" spans="1:6" x14ac:dyDescent="0.25">
      <c r="D21" s="72" t="s">
        <v>189</v>
      </c>
      <c r="E21" s="73">
        <v>2.25</v>
      </c>
      <c r="F21" s="74">
        <f>E20*E21</f>
        <v>2.8125</v>
      </c>
    </row>
    <row r="22" spans="1:6" x14ac:dyDescent="0.25">
      <c r="D22" s="87" t="s">
        <v>194</v>
      </c>
      <c r="E22" s="88"/>
      <c r="F22" s="80">
        <f>F15+F17+F19+F21</f>
        <v>8.375</v>
      </c>
    </row>
  </sheetData>
  <mergeCells count="3">
    <mergeCell ref="D22:E22"/>
    <mergeCell ref="A13:C13"/>
    <mergeCell ref="D13:F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0"/>
  <sheetViews>
    <sheetView workbookViewId="0">
      <selection activeCell="B13" sqref="B13"/>
    </sheetView>
  </sheetViews>
  <sheetFormatPr defaultRowHeight="15" x14ac:dyDescent="0.25"/>
  <cols>
    <col min="1" max="1" width="16.140625" customWidth="1"/>
    <col min="2" max="2" width="6.28515625" customWidth="1"/>
    <col min="3" max="3" width="7.140625" customWidth="1"/>
    <col min="7" max="7" width="12.140625" customWidth="1"/>
    <col min="8" max="8" width="7.7109375" customWidth="1"/>
    <col min="10" max="10" width="11.5703125" customWidth="1"/>
  </cols>
  <sheetData>
    <row r="1" spans="1:19" ht="18.75" x14ac:dyDescent="0.3">
      <c r="A1" s="42" t="s">
        <v>108</v>
      </c>
    </row>
    <row r="2" spans="1:19" x14ac:dyDescent="0.25">
      <c r="A2" s="40"/>
      <c r="B2" s="40"/>
      <c r="C2" s="40"/>
      <c r="D2" s="40"/>
      <c r="E2" s="40"/>
      <c r="F2" s="40"/>
      <c r="G2" s="40"/>
      <c r="H2" s="40"/>
    </row>
    <row r="3" spans="1:19" x14ac:dyDescent="0.25">
      <c r="L3" t="s">
        <v>198</v>
      </c>
      <c r="M3" s="40" t="s">
        <v>122</v>
      </c>
      <c r="N3" s="40">
        <f>N13*(N14+N15)*2*0.7</f>
        <v>9.1481727847222203</v>
      </c>
      <c r="O3" s="40" t="s">
        <v>116</v>
      </c>
    </row>
    <row r="4" spans="1:19" x14ac:dyDescent="0.25">
      <c r="A4" t="s">
        <v>109</v>
      </c>
    </row>
    <row r="5" spans="1:19" x14ac:dyDescent="0.25">
      <c r="A5" t="s">
        <v>110</v>
      </c>
      <c r="C5">
        <v>50</v>
      </c>
    </row>
    <row r="6" spans="1:19" x14ac:dyDescent="0.25">
      <c r="A6" t="s">
        <v>111</v>
      </c>
      <c r="C6">
        <f>C5/660.8</f>
        <v>7.5665859564164648E-2</v>
      </c>
    </row>
    <row r="7" spans="1:19" x14ac:dyDescent="0.25">
      <c r="A7" t="s">
        <v>112</v>
      </c>
      <c r="C7">
        <f>7100000*C6</f>
        <v>537227.60290556902</v>
      </c>
    </row>
    <row r="8" spans="1:19" x14ac:dyDescent="0.25">
      <c r="A8" t="s">
        <v>113</v>
      </c>
      <c r="C8">
        <f>C6^2*1481</f>
        <v>8.4792023316077358</v>
      </c>
      <c r="D8" t="s">
        <v>114</v>
      </c>
    </row>
    <row r="10" spans="1:19" x14ac:dyDescent="0.25">
      <c r="A10" t="s">
        <v>115</v>
      </c>
    </row>
    <row r="11" spans="1:19" x14ac:dyDescent="0.25">
      <c r="A11" t="s">
        <v>120</v>
      </c>
      <c r="G11" t="s">
        <v>132</v>
      </c>
      <c r="J11" s="40" t="s">
        <v>134</v>
      </c>
      <c r="M11" t="s">
        <v>135</v>
      </c>
      <c r="Q11" t="s">
        <v>131</v>
      </c>
      <c r="S11" t="s">
        <v>172</v>
      </c>
    </row>
    <row r="12" spans="1:19" x14ac:dyDescent="0.25">
      <c r="A12" t="s">
        <v>7</v>
      </c>
      <c r="B12" s="43">
        <v>5</v>
      </c>
      <c r="C12" t="s">
        <v>116</v>
      </c>
      <c r="G12" t="s">
        <v>133</v>
      </c>
      <c r="H12" s="43">
        <v>0.95</v>
      </c>
      <c r="I12" s="40" t="s">
        <v>116</v>
      </c>
      <c r="J12" s="40" t="s">
        <v>133</v>
      </c>
      <c r="K12" s="43">
        <v>0.3</v>
      </c>
      <c r="L12" t="s">
        <v>116</v>
      </c>
      <c r="M12" t="s">
        <v>122</v>
      </c>
      <c r="N12">
        <f>'Aircraft Dimensions'!C18</f>
        <v>9.61931541192555</v>
      </c>
      <c r="O12" s="40" t="s">
        <v>116</v>
      </c>
      <c r="Q12" t="s">
        <v>140</v>
      </c>
      <c r="R12" s="43">
        <v>3</v>
      </c>
      <c r="S12" t="s">
        <v>83</v>
      </c>
    </row>
    <row r="13" spans="1:19" x14ac:dyDescent="0.25">
      <c r="A13" t="s">
        <v>107</v>
      </c>
      <c r="B13" s="43">
        <v>6</v>
      </c>
      <c r="G13" t="s">
        <v>122</v>
      </c>
      <c r="H13">
        <f>2.1*H12</f>
        <v>1.9949999999999999</v>
      </c>
      <c r="I13" s="40" t="s">
        <v>116</v>
      </c>
      <c r="J13" s="40" t="s">
        <v>122</v>
      </c>
      <c r="K13" s="40">
        <f>2.1*K12</f>
        <v>0.63</v>
      </c>
      <c r="L13" t="s">
        <v>116</v>
      </c>
      <c r="M13" t="s">
        <v>136</v>
      </c>
      <c r="N13" s="77">
        <f>'Aircraft Dimensions'!H10/12</f>
        <v>4.4439166666666665</v>
      </c>
      <c r="O13" t="s">
        <v>118</v>
      </c>
      <c r="Q13" t="s">
        <v>141</v>
      </c>
      <c r="R13" s="43">
        <v>1</v>
      </c>
      <c r="S13" t="s">
        <v>83</v>
      </c>
    </row>
    <row r="14" spans="1:19" x14ac:dyDescent="0.25">
      <c r="A14" t="s">
        <v>117</v>
      </c>
      <c r="B14">
        <f>SQRT(B13*B12)</f>
        <v>5.4772255750516612</v>
      </c>
      <c r="C14" t="s">
        <v>118</v>
      </c>
      <c r="D14">
        <f>B14*12</f>
        <v>65.726706900619931</v>
      </c>
      <c r="E14" t="s">
        <v>83</v>
      </c>
      <c r="G14" t="s">
        <v>119</v>
      </c>
      <c r="H14">
        <v>0.5</v>
      </c>
      <c r="I14" s="40" t="s">
        <v>118</v>
      </c>
      <c r="J14" s="40" t="s">
        <v>119</v>
      </c>
      <c r="K14">
        <v>0.5</v>
      </c>
      <c r="L14" t="s">
        <v>118</v>
      </c>
      <c r="M14" t="s">
        <v>137</v>
      </c>
      <c r="N14" s="77">
        <f>'Aircraft Dimensions'!H9/12</f>
        <v>0.85133333333333339</v>
      </c>
      <c r="O14" t="s">
        <v>81</v>
      </c>
    </row>
    <row r="15" spans="1:19" x14ac:dyDescent="0.25">
      <c r="A15" t="s">
        <v>119</v>
      </c>
      <c r="B15">
        <f>B14/B13</f>
        <v>0.9128709291752769</v>
      </c>
      <c r="C15" t="s">
        <v>81</v>
      </c>
      <c r="D15">
        <f>B15*12</f>
        <v>10.954451150103322</v>
      </c>
      <c r="E15" t="s">
        <v>83</v>
      </c>
      <c r="G15" t="s">
        <v>128</v>
      </c>
      <c r="H15" s="57">
        <v>0.12</v>
      </c>
      <c r="J15" s="40" t="s">
        <v>128</v>
      </c>
      <c r="K15" s="58">
        <v>0.12</v>
      </c>
      <c r="M15" t="s">
        <v>138</v>
      </c>
      <c r="N15" s="77">
        <f>'Aircraft Dimensions'!H11/12</f>
        <v>0.61908333333333332</v>
      </c>
      <c r="O15" t="s">
        <v>81</v>
      </c>
      <c r="Q15" t="s">
        <v>142</v>
      </c>
      <c r="R15">
        <f>R12*R13*3/144</f>
        <v>6.25E-2</v>
      </c>
      <c r="S15" s="40" t="s">
        <v>116</v>
      </c>
    </row>
    <row r="16" spans="1:19" x14ac:dyDescent="0.25">
      <c r="A16" t="s">
        <v>122</v>
      </c>
      <c r="B16">
        <f>2.1*B12</f>
        <v>10.5</v>
      </c>
      <c r="C16" s="40" t="s">
        <v>116</v>
      </c>
      <c r="M16" t="s">
        <v>106</v>
      </c>
      <c r="N16">
        <f>N14*N15</f>
        <v>0.52704627777777779</v>
      </c>
      <c r="O16" s="40" t="s">
        <v>116</v>
      </c>
    </row>
    <row r="17" spans="1:15" x14ac:dyDescent="0.25">
      <c r="A17" t="s">
        <v>128</v>
      </c>
      <c r="B17" s="57">
        <v>0.18</v>
      </c>
      <c r="M17" t="s">
        <v>139</v>
      </c>
      <c r="N17">
        <v>2.86E-2</v>
      </c>
      <c r="O17" t="s">
        <v>116</v>
      </c>
    </row>
    <row r="18" spans="1:15" x14ac:dyDescent="0.25">
      <c r="M18" t="s">
        <v>143</v>
      </c>
      <c r="N18">
        <f>(N14+N15)/2/N13</f>
        <v>0.16544152118064021</v>
      </c>
    </row>
    <row r="22" spans="1:15" x14ac:dyDescent="0.25">
      <c r="A22" s="44"/>
      <c r="B22" s="51" t="s">
        <v>122</v>
      </c>
      <c r="C22" s="51" t="s">
        <v>123</v>
      </c>
      <c r="D22" s="51" t="s">
        <v>127</v>
      </c>
      <c r="E22" s="51" t="s">
        <v>124</v>
      </c>
      <c r="F22" s="51" t="s">
        <v>145</v>
      </c>
    </row>
    <row r="23" spans="1:15" x14ac:dyDescent="0.25">
      <c r="A23" s="39" t="s">
        <v>120</v>
      </c>
      <c r="B23" s="45">
        <f>B16</f>
        <v>10.5</v>
      </c>
      <c r="C23" s="45">
        <f>1+2*B17+60*B17^4</f>
        <v>1.4229855999999999</v>
      </c>
      <c r="D23" s="46">
        <f>$B$15*$C$7</f>
        <v>490419.46104301349</v>
      </c>
      <c r="E23" s="47">
        <f>IF(D23&lt;500000,1.328/SQRT(D23),1/(3.46*LOG10(D23)-5.6)^2)</f>
        <v>1.8963313602336728E-3</v>
      </c>
      <c r="F23" s="47">
        <f>B23*C23*E23/$B$12</f>
        <v>5.6667496587259501E-3</v>
      </c>
    </row>
    <row r="24" spans="1:15" x14ac:dyDescent="0.25">
      <c r="A24" s="39" t="s">
        <v>121</v>
      </c>
      <c r="B24" s="45">
        <f>N12</f>
        <v>9.61931541192555</v>
      </c>
      <c r="C24" s="45">
        <f>1-0.2896*N18+5.41*N18^2+88*N18^3-238.7*N18^4</f>
        <v>1.3198276524866541</v>
      </c>
      <c r="D24" s="46">
        <f>C7*N13</f>
        <v>2387394.69834544</v>
      </c>
      <c r="E24" s="47">
        <f t="shared" ref="E24:E26" si="0">IF(D24&lt;500000,1.328/SQRT(D24),1/(3.46*LOG10(D24)-5.6)^2)</f>
        <v>3.6875544465057872E-3</v>
      </c>
      <c r="F24" s="47">
        <f t="shared" ref="F24:F26" si="1">B24*C24*E24/$B$12</f>
        <v>9.3633191268133031E-3</v>
      </c>
    </row>
    <row r="25" spans="1:15" x14ac:dyDescent="0.25">
      <c r="A25" s="39" t="s">
        <v>125</v>
      </c>
      <c r="B25" s="45">
        <f>H13</f>
        <v>1.9949999999999999</v>
      </c>
      <c r="C25" s="45">
        <f>1+2*H15+60*H15^4</f>
        <v>1.2524416</v>
      </c>
      <c r="D25" s="46">
        <f>$H$14*$C$7</f>
        <v>268613.80145278451</v>
      </c>
      <c r="E25" s="47">
        <f t="shared" si="0"/>
        <v>2.5623232275131728E-3</v>
      </c>
      <c r="F25" s="47">
        <f t="shared" si="1"/>
        <v>1.2804549209107208E-3</v>
      </c>
    </row>
    <row r="26" spans="1:15" x14ac:dyDescent="0.25">
      <c r="A26" s="39" t="s">
        <v>126</v>
      </c>
      <c r="B26" s="45">
        <f>K13</f>
        <v>0.63</v>
      </c>
      <c r="C26" s="45">
        <f>1+2*K15+60*K15^4</f>
        <v>1.2524416</v>
      </c>
      <c r="D26" s="46">
        <f>$K$14*$C$7</f>
        <v>268613.80145278451</v>
      </c>
      <c r="E26" s="47">
        <f t="shared" si="0"/>
        <v>2.5623232275131728E-3</v>
      </c>
      <c r="F26" s="47">
        <f t="shared" si="1"/>
        <v>4.0435418555075401E-4</v>
      </c>
    </row>
    <row r="27" spans="1:15" x14ac:dyDescent="0.25">
      <c r="A27" s="39" t="s">
        <v>130</v>
      </c>
      <c r="B27" s="45">
        <f>N17</f>
        <v>2.86E-2</v>
      </c>
      <c r="C27" s="48"/>
      <c r="D27" s="48"/>
      <c r="E27" s="48"/>
      <c r="F27" s="47">
        <f>B27/B12*0.16</f>
        <v>9.1520000000000002E-4</v>
      </c>
    </row>
    <row r="28" spans="1:15" x14ac:dyDescent="0.25">
      <c r="A28" s="39" t="s">
        <v>131</v>
      </c>
      <c r="B28" s="45">
        <f>R15</f>
        <v>6.25E-2</v>
      </c>
      <c r="C28" s="48"/>
      <c r="D28" s="48"/>
      <c r="E28" s="48"/>
      <c r="F28" s="47">
        <f>B28/B12*1</f>
        <v>1.2500000000000001E-2</v>
      </c>
    </row>
    <row r="29" spans="1:15" x14ac:dyDescent="0.25">
      <c r="A29" s="39" t="s">
        <v>144</v>
      </c>
      <c r="B29" s="48"/>
      <c r="C29" s="48"/>
      <c r="D29" s="48"/>
      <c r="E29" s="48"/>
      <c r="F29" s="47">
        <f>0.28*SUM(F23:F27)</f>
        <v>4.9364218097602041E-3</v>
      </c>
    </row>
    <row r="30" spans="1:15" x14ac:dyDescent="0.25">
      <c r="A30" s="41" t="s">
        <v>129</v>
      </c>
      <c r="B30" s="49"/>
      <c r="C30" s="49"/>
      <c r="D30" s="49"/>
      <c r="E30" s="49"/>
      <c r="F30" s="50">
        <f>SUM(F23:F29)</f>
        <v>3.5066499701760935E-2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Performance Data</vt:lpstr>
      <vt:lpstr>Aircraft Dimensions</vt:lpstr>
      <vt:lpstr>CD0 calculator</vt:lpstr>
      <vt:lpstr>AR</vt:lpstr>
      <vt:lpstr>AR_e</vt:lpstr>
      <vt:lpstr>BATWATTS</vt:lpstr>
      <vt:lpstr>BATWEIGHT</vt:lpstr>
      <vt:lpstr>CARGO_HEIGHT</vt:lpstr>
      <vt:lpstr>CARGO_LENGTH</vt:lpstr>
      <vt:lpstr>CARGO_ROWS</vt:lpstr>
      <vt:lpstr>CARGO_WIDTH</vt:lpstr>
      <vt:lpstr>CARGOperROW</vt:lpstr>
      <vt:lpstr>CD0</vt:lpstr>
      <vt:lpstr>CRUD_HEIGHT</vt:lpstr>
      <vt:lpstr>CRUD_LENGTH</vt:lpstr>
      <vt:lpstr>CRUD_LENGTH_nose</vt:lpstr>
      <vt:lpstr>CRUD_LENGTH_tail</vt:lpstr>
      <vt:lpstr>CRUD_WIDTH</vt:lpstr>
      <vt:lpstr>ExternalServoHeight</vt:lpstr>
      <vt:lpstr>ExternalServoWidth</vt:lpstr>
      <vt:lpstr>Fuse_H</vt:lpstr>
      <vt:lpstr>Fuse_Len</vt:lpstr>
      <vt:lpstr>Fuse_W</vt:lpstr>
      <vt:lpstr>HEADWIND</vt:lpstr>
      <vt:lpstr>LandingGearHeight</vt:lpstr>
      <vt:lpstr>LandingGearWidth</vt:lpstr>
      <vt:lpstr>M1_TURN_MARGIN</vt:lpstr>
      <vt:lpstr>m2_turn_margin</vt:lpstr>
      <vt:lpstr>m3_turn_margin</vt:lpstr>
      <vt:lpstr>MISSION1_STALL</vt:lpstr>
      <vt:lpstr>MISSION1_TODIST</vt:lpstr>
      <vt:lpstr>MISSION1_TOP</vt:lpstr>
      <vt:lpstr>MISSION1_WARNING</vt:lpstr>
      <vt:lpstr>MISSION2_STALL</vt:lpstr>
      <vt:lpstr>MISSION2_TIME</vt:lpstr>
      <vt:lpstr>MISSION2_TODIST</vt:lpstr>
      <vt:lpstr>MISSION2_TOP</vt:lpstr>
      <vt:lpstr>MISSION2_WARNING</vt:lpstr>
      <vt:lpstr>MISSION3_LAPS</vt:lpstr>
      <vt:lpstr>MISSION3_STALL</vt:lpstr>
      <vt:lpstr>MISSION3_TODIST</vt:lpstr>
      <vt:lpstr>MISSION3_TOP</vt:lpstr>
      <vt:lpstr>MISSION3_WARNING</vt:lpstr>
      <vt:lpstr>NBLOX</vt:lpstr>
      <vt:lpstr>NENG</vt:lpstr>
      <vt:lpstr>NPAX</vt:lpstr>
      <vt:lpstr>NUMCELLS</vt:lpstr>
      <vt:lpstr>OEW</vt:lpstr>
      <vt:lpstr>OverallScore</vt:lpstr>
      <vt:lpstr>PAX_DIMENSIONS</vt:lpstr>
      <vt:lpstr>PAX_ROWS</vt:lpstr>
      <vt:lpstr>PAXperROW</vt:lpstr>
      <vt:lpstr>penalty</vt:lpstr>
      <vt:lpstr>RAC</vt:lpstr>
      <vt:lpstr>S_HT</vt:lpstr>
      <vt:lpstr>S_VT</vt:lpstr>
      <vt:lpstr>Spi</vt:lpstr>
      <vt:lpstr>Sref</vt:lpstr>
      <vt:lpstr>SWET_fuse</vt:lpstr>
      <vt:lpstr>SWET_mid</vt:lpstr>
      <vt:lpstr>SWET_nose</vt:lpstr>
      <vt:lpstr>sWet_t</vt:lpstr>
      <vt:lpstr>SWET_tail</vt:lpstr>
      <vt:lpstr>sync</vt:lpstr>
      <vt:lpstr>Tail_End_Height</vt:lpstr>
      <vt:lpstr>Tail_End_Width</vt:lpstr>
      <vt:lpstr>TAIL_Swet</vt:lpstr>
      <vt:lpstr>Tire_D</vt:lpstr>
      <vt:lpstr>Tire_W</vt:lpstr>
      <vt:lpstr>tOc_HT</vt:lpstr>
      <vt:lpstr>tOc_VT</vt:lpstr>
      <vt:lpstr>tOC_wing</vt:lpstr>
      <vt:lpstr>TOW_M1</vt:lpstr>
      <vt:lpstr>TOW_M2</vt:lpstr>
      <vt:lpstr>TOW_M3</vt:lpstr>
      <vt:lpstr>TrunionHeight</vt:lpstr>
      <vt:lpstr>TrunionWidth</vt:lpstr>
      <vt:lpstr>WSPAN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Philip_Thomas</cp:lastModifiedBy>
  <cp:lastPrinted>2014-12-18T16:36:06Z</cp:lastPrinted>
  <dcterms:created xsi:type="dcterms:W3CDTF">2012-11-17T04:50:56Z</dcterms:created>
  <dcterms:modified xsi:type="dcterms:W3CDTF">2017-09-23T19:16:24Z</dcterms:modified>
</cp:coreProperties>
</file>