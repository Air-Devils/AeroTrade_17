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28800" windowHeight="12360"/>
  </bookViews>
  <sheets>
    <sheet name="Performance Data" sheetId="1" r:id="rId1"/>
    <sheet name="Aircraft Dimensions" sheetId="3" r:id="rId2"/>
    <sheet name="CD0 calculator" sheetId="2" r:id="rId3"/>
  </sheets>
  <definedNames>
    <definedName name="AR">'CD0 calculator'!$B$13</definedName>
    <definedName name="AR_e">'Performance Data'!$P$12</definedName>
    <definedName name="BATWATTS">'Performance Data'!$B$23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Dimensions'!$H$7</definedName>
    <definedName name="CRUD_LENGTH">'Aircraft Dimensions'!$H$6</definedName>
    <definedName name="CRUD_WIDTH">'Aircraft Dimensions'!$H$5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Data'!$J$9</definedName>
    <definedName name="MISSION2_TIME">'Performance Data'!$B$45</definedName>
    <definedName name="MISSION2_TODIST">'Performance Data'!$J$11</definedName>
    <definedName name="MISSION2_TOP">'Performance Data'!$J$10</definedName>
    <definedName name="MISSION2_WARNING">'Performance Data'!$L$11</definedName>
    <definedName name="MISSION3_LAPS">'Performance Data'!$B$49</definedName>
    <definedName name="MISSION3_STALL">'Performance Data'!$J$12</definedName>
    <definedName name="MISSION3_TODIST">'Performance Data'!$J$14</definedName>
    <definedName name="MISSION3_TOP">'Performance Data'!$J$13</definedName>
    <definedName name="MISSION3_WARNING">'Performance Data'!$L$14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Data'!$L$16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ync">'Performance Data'!$J$17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WSPAN">'Performance Data'!$B$51</definedName>
  </definedNames>
  <calcPr calcId="145621"/>
</workbook>
</file>

<file path=xl/calcChain.xml><?xml version="1.0" encoding="utf-8"?>
<calcChain xmlns="http://schemas.openxmlformats.org/spreadsheetml/2006/main">
  <c r="P43" i="1" l="1"/>
  <c r="Q43" i="1"/>
  <c r="U43" i="1"/>
  <c r="P44" i="1"/>
  <c r="U44" i="1"/>
  <c r="P45" i="1"/>
  <c r="Q45" i="1"/>
  <c r="U45" i="1"/>
  <c r="P46" i="1"/>
  <c r="U46" i="1"/>
  <c r="P47" i="1"/>
  <c r="Q47" i="1"/>
  <c r="U47" i="1"/>
  <c r="P48" i="1"/>
  <c r="U48" i="1"/>
  <c r="P49" i="1"/>
  <c r="Q49" i="1"/>
  <c r="U49" i="1"/>
  <c r="P50" i="1"/>
  <c r="U50" i="1"/>
  <c r="P51" i="1"/>
  <c r="Q51" i="1"/>
  <c r="U51" i="1"/>
  <c r="P52" i="1"/>
  <c r="U52" i="1"/>
  <c r="P53" i="1"/>
  <c r="Q53" i="1"/>
  <c r="U53" i="1"/>
  <c r="P54" i="1"/>
  <c r="U54" i="1"/>
  <c r="P55" i="1"/>
  <c r="Q55" i="1"/>
  <c r="U55" i="1"/>
  <c r="P56" i="1"/>
  <c r="U56" i="1"/>
  <c r="P57" i="1"/>
  <c r="Q57" i="1"/>
  <c r="U57" i="1"/>
  <c r="P58" i="1"/>
  <c r="Q58" i="1" s="1"/>
  <c r="U58" i="1"/>
  <c r="P59" i="1"/>
  <c r="Q59" i="1"/>
  <c r="U59" i="1"/>
  <c r="P60" i="1"/>
  <c r="U60" i="1"/>
  <c r="P61" i="1"/>
  <c r="Q61" i="1"/>
  <c r="U61" i="1"/>
  <c r="P62" i="1"/>
  <c r="U62" i="1"/>
  <c r="P63" i="1"/>
  <c r="Q63" i="1"/>
  <c r="U63" i="1"/>
  <c r="P64" i="1"/>
  <c r="U64" i="1"/>
  <c r="P65" i="1"/>
  <c r="Q65" i="1"/>
  <c r="U65" i="1"/>
  <c r="P66" i="1"/>
  <c r="Q66" i="1"/>
  <c r="U66" i="1"/>
  <c r="O49" i="1"/>
  <c r="O50" i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18" i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13" i="1"/>
  <c r="P12" i="1"/>
  <c r="Q64" i="1" l="1"/>
  <c r="Q62" i="1"/>
  <c r="Q60" i="1"/>
  <c r="Q56" i="1"/>
  <c r="Q54" i="1"/>
  <c r="Q52" i="1"/>
  <c r="Q50" i="1"/>
  <c r="Q48" i="1"/>
  <c r="Q46" i="1"/>
  <c r="Q44" i="1"/>
  <c r="U42" i="1"/>
  <c r="P40" i="1"/>
  <c r="Q40" i="1" s="1"/>
  <c r="U39" i="1"/>
  <c r="P39" i="1"/>
  <c r="U38" i="1"/>
  <c r="P36" i="1"/>
  <c r="Q36" i="1" s="1"/>
  <c r="P42" i="1"/>
  <c r="Q42" i="1" s="1"/>
  <c r="U41" i="1"/>
  <c r="P41" i="1"/>
  <c r="U40" i="1"/>
  <c r="P38" i="1"/>
  <c r="Q38" i="1" s="1"/>
  <c r="U37" i="1"/>
  <c r="P37" i="1"/>
  <c r="U36" i="1"/>
  <c r="I2" i="3"/>
  <c r="H2" i="3"/>
  <c r="B4" i="3"/>
  <c r="Q37" i="1" l="1"/>
  <c r="Q41" i="1"/>
  <c r="Q39" i="1"/>
  <c r="B34" i="1"/>
  <c r="B32" i="1"/>
  <c r="H9" i="3" l="1"/>
  <c r="N13" i="2" s="1"/>
  <c r="F2" i="3"/>
  <c r="B33" i="1" s="1"/>
  <c r="I1" i="3"/>
  <c r="K3" i="3"/>
  <c r="O2" i="3"/>
  <c r="H3" i="3" s="1"/>
  <c r="H10" i="3" s="1"/>
  <c r="N15" i="2" s="1"/>
  <c r="N2" i="3"/>
  <c r="C2" i="3"/>
  <c r="B31" i="1" s="1"/>
  <c r="H1" i="3"/>
  <c r="H8" i="3" s="1"/>
  <c r="N14" i="2" s="1"/>
  <c r="L14" i="1" l="1"/>
  <c r="L11" i="1"/>
  <c r="L8" i="1"/>
  <c r="J17" i="1" l="1"/>
  <c r="N12" i="2" l="1"/>
  <c r="B24" i="2" s="1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B15" i="2" s="1"/>
  <c r="C6" i="2"/>
  <c r="C8" i="2" s="1"/>
  <c r="C7" i="2" l="1"/>
  <c r="D15" i="2"/>
  <c r="D14" i="2"/>
  <c r="B47" i="1"/>
  <c r="B48" i="1" s="1"/>
  <c r="B43" i="1"/>
  <c r="D26" i="2" l="1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F29" i="2" l="1"/>
  <c r="F30" i="2" s="1"/>
  <c r="P11" i="1" s="1"/>
  <c r="T116" i="1" s="1"/>
  <c r="F47" i="1"/>
  <c r="U13" i="1"/>
  <c r="B51" i="1" s="1"/>
  <c r="B49" i="1"/>
  <c r="B55" i="1" s="1"/>
  <c r="B44" i="1"/>
  <c r="B45" i="1" s="1"/>
  <c r="B54" i="1" s="1"/>
  <c r="B24" i="1"/>
  <c r="S112" i="1"/>
  <c r="S113" i="1"/>
  <c r="S114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T110" i="1" l="1"/>
  <c r="T109" i="1"/>
  <c r="T108" i="1"/>
  <c r="T106" i="1"/>
  <c r="T105" i="1"/>
  <c r="T100" i="1"/>
  <c r="T111" i="1"/>
  <c r="T107" i="1"/>
  <c r="T103" i="1"/>
  <c r="T114" i="1"/>
  <c r="T113" i="1"/>
  <c r="T119" i="1"/>
  <c r="T127" i="1"/>
  <c r="T104" i="1"/>
  <c r="T102" i="1"/>
  <c r="T101" i="1"/>
  <c r="T112" i="1"/>
  <c r="T134" i="1"/>
  <c r="T123" i="1"/>
  <c r="T129" i="1"/>
  <c r="T117" i="1"/>
  <c r="T132" i="1"/>
  <c r="T115" i="1"/>
  <c r="T120" i="1"/>
  <c r="T124" i="1"/>
  <c r="T128" i="1"/>
  <c r="T133" i="1"/>
  <c r="T118" i="1"/>
  <c r="T121" i="1"/>
  <c r="T122" i="1"/>
  <c r="T125" i="1"/>
  <c r="T130" i="1"/>
  <c r="T126" i="1"/>
  <c r="T131" i="1"/>
  <c r="Y8" i="1"/>
  <c r="E9" i="1" l="1"/>
  <c r="B21" i="1"/>
  <c r="B30" i="1" s="1"/>
  <c r="B57" i="1" l="1"/>
  <c r="B38" i="1"/>
  <c r="U16" i="1"/>
  <c r="Z74" i="1" l="1"/>
  <c r="B22" i="1" l="1"/>
  <c r="B23" i="1" s="1"/>
  <c r="L16" i="1" s="1"/>
  <c r="B59" i="1" s="1"/>
  <c r="W74" i="1" l="1"/>
  <c r="S90" i="1" l="1"/>
  <c r="T90" i="1" s="1"/>
  <c r="S91" i="1"/>
  <c r="T91" i="1" s="1"/>
  <c r="S92" i="1"/>
  <c r="T92" i="1" s="1"/>
  <c r="S93" i="1"/>
  <c r="T93" i="1" s="1"/>
  <c r="S94" i="1"/>
  <c r="T94" i="1" s="1"/>
  <c r="S95" i="1"/>
  <c r="T95" i="1" s="1"/>
  <c r="S96" i="1"/>
  <c r="T96" i="1" s="1"/>
  <c r="S97" i="1"/>
  <c r="T97" i="1" s="1"/>
  <c r="S98" i="1"/>
  <c r="T98" i="1" s="1"/>
  <c r="S99" i="1"/>
  <c r="T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S75" i="1"/>
  <c r="T75" i="1" s="1"/>
  <c r="S76" i="1"/>
  <c r="T76" i="1" s="1"/>
  <c r="S77" i="1"/>
  <c r="T77" i="1" s="1"/>
  <c r="S78" i="1"/>
  <c r="T78" i="1" s="1"/>
  <c r="S79" i="1"/>
  <c r="T79" i="1" s="1"/>
  <c r="S80" i="1"/>
  <c r="T80" i="1" s="1"/>
  <c r="S81" i="1"/>
  <c r="T81" i="1" s="1"/>
  <c r="S82" i="1"/>
  <c r="T82" i="1" s="1"/>
  <c r="S83" i="1"/>
  <c r="T83" i="1" s="1"/>
  <c r="S84" i="1"/>
  <c r="T84" i="1" s="1"/>
  <c r="S85" i="1"/>
  <c r="T85" i="1" s="1"/>
  <c r="S86" i="1"/>
  <c r="T86" i="1" s="1"/>
  <c r="S87" i="1"/>
  <c r="T87" i="1" s="1"/>
  <c r="S88" i="1"/>
  <c r="T88" i="1" s="1"/>
  <c r="S89" i="1"/>
  <c r="T89" i="1" s="1"/>
  <c r="S74" i="1"/>
  <c r="Q74" i="1"/>
  <c r="O91" i="1" l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R74" i="1"/>
  <c r="U74" i="1" s="1"/>
  <c r="P16" i="1"/>
  <c r="U17" i="1"/>
  <c r="P17" i="1" l="1"/>
  <c r="Q16" i="1"/>
  <c r="T74" i="1"/>
  <c r="P18" i="1" l="1"/>
  <c r="Q18" i="1" s="1"/>
  <c r="U18" i="1"/>
  <c r="Q17" i="1"/>
  <c r="U19" i="1"/>
  <c r="U20" i="1" l="1"/>
  <c r="P19" i="1"/>
  <c r="Q19" i="1" l="1"/>
  <c r="U21" i="1"/>
  <c r="P20" i="1"/>
  <c r="Q20" i="1" l="1"/>
  <c r="U22" i="1"/>
  <c r="P21" i="1"/>
  <c r="Q21" i="1" l="1"/>
  <c r="U23" i="1"/>
  <c r="P22" i="1"/>
  <c r="Q22" i="1" l="1"/>
  <c r="U24" i="1"/>
  <c r="P23" i="1"/>
  <c r="U25" i="1" l="1"/>
  <c r="P24" i="1"/>
  <c r="Q23" i="1"/>
  <c r="Q24" i="1" l="1"/>
  <c r="U26" i="1"/>
  <c r="P25" i="1"/>
  <c r="Q25" i="1" l="1"/>
  <c r="U27" i="1"/>
  <c r="P26" i="1"/>
  <c r="Q26" i="1" l="1"/>
  <c r="U28" i="1"/>
  <c r="P27" i="1"/>
  <c r="Q27" i="1" l="1"/>
  <c r="U29" i="1"/>
  <c r="P28" i="1"/>
  <c r="Q28" i="1" l="1"/>
  <c r="U30" i="1"/>
  <c r="P29" i="1"/>
  <c r="Q29" i="1" l="1"/>
  <c r="U31" i="1"/>
  <c r="P30" i="1"/>
  <c r="Q30" i="1" l="1"/>
  <c r="U32" i="1"/>
  <c r="P31" i="1"/>
  <c r="Q31" i="1" l="1"/>
  <c r="U33" i="1"/>
  <c r="P32" i="1"/>
  <c r="Q32" i="1" l="1"/>
  <c r="U34" i="1"/>
  <c r="P33" i="1"/>
  <c r="Q33" i="1" l="1"/>
  <c r="U35" i="1"/>
  <c r="P34" i="1"/>
  <c r="Q34" i="1" l="1"/>
  <c r="P35" i="1"/>
  <c r="Q35" i="1" l="1"/>
  <c r="U67" i="1" l="1"/>
  <c r="U68" i="1" l="1"/>
  <c r="P67" i="1"/>
  <c r="Q67" i="1" l="1"/>
  <c r="P68" i="1"/>
  <c r="Q68" i="1" l="1"/>
  <c r="U8" i="1" l="1"/>
  <c r="U9" i="1" s="1"/>
  <c r="V74" i="1"/>
  <c r="X74" i="1" s="1"/>
  <c r="P75" i="1" s="1"/>
  <c r="W45" i="1" l="1"/>
  <c r="W49" i="1"/>
  <c r="W53" i="1"/>
  <c r="W57" i="1"/>
  <c r="W61" i="1"/>
  <c r="W63" i="1"/>
  <c r="W65" i="1"/>
  <c r="W66" i="1"/>
  <c r="W43" i="1"/>
  <c r="W47" i="1"/>
  <c r="W51" i="1"/>
  <c r="W55" i="1"/>
  <c r="W59" i="1"/>
  <c r="W64" i="1"/>
  <c r="W62" i="1"/>
  <c r="W60" i="1"/>
  <c r="W58" i="1"/>
  <c r="W56" i="1"/>
  <c r="W54" i="1"/>
  <c r="W52" i="1"/>
  <c r="W50" i="1"/>
  <c r="W48" i="1"/>
  <c r="W46" i="1"/>
  <c r="W44" i="1"/>
  <c r="W40" i="1"/>
  <c r="W36" i="1"/>
  <c r="W42" i="1"/>
  <c r="W38" i="1"/>
  <c r="W37" i="1"/>
  <c r="W41" i="1"/>
  <c r="W39" i="1"/>
  <c r="AA75" i="1"/>
  <c r="Z75" i="1"/>
  <c r="Y74" i="1"/>
  <c r="U10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67" i="1"/>
  <c r="W68" i="1"/>
  <c r="AC44" i="1" l="1"/>
  <c r="AD44" i="1" s="1"/>
  <c r="AB44" i="1"/>
  <c r="R44" i="1"/>
  <c r="S44" i="1" s="1"/>
  <c r="T44" i="1" s="1"/>
  <c r="V44" i="1" s="1"/>
  <c r="AA44" i="1" s="1"/>
  <c r="AC48" i="1"/>
  <c r="AD48" i="1" s="1"/>
  <c r="AB48" i="1"/>
  <c r="R48" i="1"/>
  <c r="S48" i="1" s="1"/>
  <c r="T48" i="1" s="1"/>
  <c r="V48" i="1" s="1"/>
  <c r="AA48" i="1" s="1"/>
  <c r="X48" i="1"/>
  <c r="Y48" i="1" s="1"/>
  <c r="AC52" i="1"/>
  <c r="AD52" i="1" s="1"/>
  <c r="AB52" i="1"/>
  <c r="R52" i="1"/>
  <c r="S52" i="1" s="1"/>
  <c r="T52" i="1" s="1"/>
  <c r="V52" i="1" s="1"/>
  <c r="AA52" i="1" s="1"/>
  <c r="X52" i="1"/>
  <c r="Y52" i="1" s="1"/>
  <c r="AC56" i="1"/>
  <c r="AB56" i="1"/>
  <c r="R56" i="1"/>
  <c r="S56" i="1" s="1"/>
  <c r="T56" i="1" s="1"/>
  <c r="V56" i="1" s="1"/>
  <c r="AA56" i="1" s="1"/>
  <c r="AD56" i="1"/>
  <c r="X56" i="1"/>
  <c r="Y56" i="1" s="1"/>
  <c r="AC60" i="1"/>
  <c r="AD60" i="1" s="1"/>
  <c r="AB60" i="1"/>
  <c r="R60" i="1"/>
  <c r="S60" i="1" s="1"/>
  <c r="T60" i="1" s="1"/>
  <c r="V60" i="1" s="1"/>
  <c r="AA60" i="1" s="1"/>
  <c r="AC64" i="1"/>
  <c r="AD64" i="1" s="1"/>
  <c r="AB64" i="1"/>
  <c r="R64" i="1"/>
  <c r="S64" i="1" s="1"/>
  <c r="AC55" i="1"/>
  <c r="R55" i="1"/>
  <c r="AD55" i="1"/>
  <c r="AB55" i="1"/>
  <c r="S55" i="1"/>
  <c r="AC47" i="1"/>
  <c r="S47" i="1"/>
  <c r="R47" i="1"/>
  <c r="AD47" i="1"/>
  <c r="AB47" i="1"/>
  <c r="R66" i="1"/>
  <c r="S66" i="1" s="1"/>
  <c r="AC66" i="1"/>
  <c r="AD66" i="1"/>
  <c r="AB66" i="1"/>
  <c r="AC63" i="1"/>
  <c r="AD63" i="1" s="1"/>
  <c r="AB63" i="1"/>
  <c r="R63" i="1"/>
  <c r="S63" i="1" s="1"/>
  <c r="R57" i="1"/>
  <c r="S57" i="1" s="1"/>
  <c r="T57" i="1" s="1"/>
  <c r="V57" i="1" s="1"/>
  <c r="AA57" i="1" s="1"/>
  <c r="AC57" i="1"/>
  <c r="AD57" i="1" s="1"/>
  <c r="AB57" i="1"/>
  <c r="AC49" i="1"/>
  <c r="AD49" i="1" s="1"/>
  <c r="R49" i="1"/>
  <c r="AB49" i="1"/>
  <c r="Z43" i="1"/>
  <c r="Z44" i="1"/>
  <c r="Z47" i="1"/>
  <c r="Z48" i="1"/>
  <c r="Z51" i="1"/>
  <c r="Z52" i="1"/>
  <c r="Z55" i="1"/>
  <c r="Z56" i="1"/>
  <c r="Z59" i="1"/>
  <c r="Z60" i="1"/>
  <c r="Z62" i="1"/>
  <c r="Z64" i="1"/>
  <c r="Z45" i="1"/>
  <c r="Z46" i="1"/>
  <c r="Z49" i="1"/>
  <c r="Z50" i="1"/>
  <c r="Z53" i="1"/>
  <c r="Z54" i="1"/>
  <c r="Z57" i="1"/>
  <c r="Z58" i="1"/>
  <c r="Z61" i="1"/>
  <c r="Z63" i="1"/>
  <c r="Z65" i="1"/>
  <c r="Z66" i="1"/>
  <c r="AC46" i="1"/>
  <c r="AD46" i="1" s="1"/>
  <c r="AB46" i="1"/>
  <c r="R46" i="1"/>
  <c r="S46" i="1" s="1"/>
  <c r="T46" i="1" s="1"/>
  <c r="V46" i="1" s="1"/>
  <c r="AA46" i="1" s="1"/>
  <c r="AC50" i="1"/>
  <c r="AD50" i="1" s="1"/>
  <c r="AB50" i="1"/>
  <c r="R50" i="1"/>
  <c r="S50" i="1" s="1"/>
  <c r="X50" i="1"/>
  <c r="Y50" i="1" s="1"/>
  <c r="R54" i="1"/>
  <c r="S54" i="1" s="1"/>
  <c r="T54" i="1" s="1"/>
  <c r="V54" i="1" s="1"/>
  <c r="AA54" i="1" s="1"/>
  <c r="AC54" i="1"/>
  <c r="AB54" i="1"/>
  <c r="AD54" i="1"/>
  <c r="X54" i="1"/>
  <c r="Y54" i="1" s="1"/>
  <c r="R58" i="1"/>
  <c r="S58" i="1" s="1"/>
  <c r="T58" i="1" s="1"/>
  <c r="V58" i="1" s="1"/>
  <c r="AA58" i="1" s="1"/>
  <c r="AB58" i="1"/>
  <c r="AC58" i="1"/>
  <c r="AD58" i="1" s="1"/>
  <c r="AC62" i="1"/>
  <c r="AD62" i="1" s="1"/>
  <c r="R62" i="1"/>
  <c r="S62" i="1" s="1"/>
  <c r="T62" i="1" s="1"/>
  <c r="V62" i="1" s="1"/>
  <c r="AA62" i="1" s="1"/>
  <c r="AB62" i="1"/>
  <c r="X62" i="1"/>
  <c r="Y62" i="1" s="1"/>
  <c r="AC59" i="1"/>
  <c r="AD59" i="1" s="1"/>
  <c r="R59" i="1"/>
  <c r="S59" i="1" s="1"/>
  <c r="AB59" i="1"/>
  <c r="AC51" i="1"/>
  <c r="AD51" i="1" s="1"/>
  <c r="AB51" i="1"/>
  <c r="R51" i="1"/>
  <c r="AC43" i="1"/>
  <c r="R43" i="1"/>
  <c r="AB43" i="1"/>
  <c r="S43" i="1"/>
  <c r="AD43" i="1"/>
  <c r="AB65" i="1"/>
  <c r="AC65" i="1"/>
  <c r="AD65" i="1" s="1"/>
  <c r="R65" i="1"/>
  <c r="S65" i="1" s="1"/>
  <c r="T65" i="1" s="1"/>
  <c r="V65" i="1" s="1"/>
  <c r="AA65" i="1" s="1"/>
  <c r="AC61" i="1"/>
  <c r="AD61" i="1" s="1"/>
  <c r="R61" i="1"/>
  <c r="AB61" i="1"/>
  <c r="S61" i="1"/>
  <c r="AC53" i="1"/>
  <c r="AD53" i="1" s="1"/>
  <c r="R53" i="1"/>
  <c r="AB53" i="1"/>
  <c r="S53" i="1"/>
  <c r="T53" i="1" s="1"/>
  <c r="V53" i="1" s="1"/>
  <c r="AA53" i="1" s="1"/>
  <c r="AC45" i="1"/>
  <c r="AD45" i="1" s="1"/>
  <c r="R45" i="1"/>
  <c r="X45" i="1" s="1"/>
  <c r="Y45" i="1" s="1"/>
  <c r="AB45" i="1"/>
  <c r="S45" i="1"/>
  <c r="T45" i="1" s="1"/>
  <c r="V45" i="1" s="1"/>
  <c r="AA45" i="1" s="1"/>
  <c r="AC41" i="1"/>
  <c r="AD41" i="1" s="1"/>
  <c r="AB41" i="1"/>
  <c r="R41" i="1"/>
  <c r="S41" i="1" s="1"/>
  <c r="AC36" i="1"/>
  <c r="AD36" i="1" s="1"/>
  <c r="R36" i="1"/>
  <c r="S36" i="1" s="1"/>
  <c r="AB36" i="1"/>
  <c r="AC39" i="1"/>
  <c r="AD39" i="1" s="1"/>
  <c r="AB39" i="1"/>
  <c r="R39" i="1"/>
  <c r="S39" i="1" s="1"/>
  <c r="T39" i="1" s="1"/>
  <c r="V39" i="1" s="1"/>
  <c r="AA39" i="1" s="1"/>
  <c r="AC37" i="1"/>
  <c r="AD37" i="1" s="1"/>
  <c r="R37" i="1"/>
  <c r="S37" i="1" s="1"/>
  <c r="AB37" i="1"/>
  <c r="AC42" i="1"/>
  <c r="AD42" i="1" s="1"/>
  <c r="R42" i="1"/>
  <c r="S42" i="1" s="1"/>
  <c r="AB42" i="1"/>
  <c r="R40" i="1"/>
  <c r="S40" i="1" s="1"/>
  <c r="AB40" i="1"/>
  <c r="AC40" i="1"/>
  <c r="AD40" i="1" s="1"/>
  <c r="Z40" i="1"/>
  <c r="Z39" i="1"/>
  <c r="Z36" i="1"/>
  <c r="Z42" i="1"/>
  <c r="Z41" i="1"/>
  <c r="Z38" i="1"/>
  <c r="Z37" i="1"/>
  <c r="AB38" i="1"/>
  <c r="AC38" i="1"/>
  <c r="AD38" i="1" s="1"/>
  <c r="R38" i="1"/>
  <c r="S38" i="1" s="1"/>
  <c r="AB19" i="1"/>
  <c r="AC19" i="1"/>
  <c r="AD19" i="1" s="1"/>
  <c r="R19" i="1"/>
  <c r="S19" i="1" s="1"/>
  <c r="T19" i="1" s="1"/>
  <c r="V19" i="1" s="1"/>
  <c r="AA19" i="1" s="1"/>
  <c r="AC26" i="1"/>
  <c r="AD26" i="1" s="1"/>
  <c r="R26" i="1"/>
  <c r="S26" i="1" s="1"/>
  <c r="AB26" i="1"/>
  <c r="R18" i="1"/>
  <c r="S18" i="1" s="1"/>
  <c r="T18" i="1" s="1"/>
  <c r="V18" i="1" s="1"/>
  <c r="AA18" i="1" s="1"/>
  <c r="AC18" i="1"/>
  <c r="AD18" i="1" s="1"/>
  <c r="AB18" i="1"/>
  <c r="AC27" i="1"/>
  <c r="AD27" i="1" s="1"/>
  <c r="R27" i="1"/>
  <c r="S27" i="1" s="1"/>
  <c r="AB27" i="1"/>
  <c r="R16" i="1"/>
  <c r="S16" i="1" s="1"/>
  <c r="T16" i="1" s="1"/>
  <c r="V16" i="1" s="1"/>
  <c r="AA16" i="1" s="1"/>
  <c r="AC16" i="1"/>
  <c r="AD16" i="1" s="1"/>
  <c r="AB16" i="1"/>
  <c r="X16" i="1"/>
  <c r="Y16" i="1" s="1"/>
  <c r="R35" i="1"/>
  <c r="S35" i="1" s="1"/>
  <c r="AB35" i="1"/>
  <c r="AC35" i="1"/>
  <c r="AD35" i="1" s="1"/>
  <c r="AC68" i="1"/>
  <c r="AD68" i="1" s="1"/>
  <c r="R68" i="1"/>
  <c r="S68" i="1" s="1"/>
  <c r="AB68" i="1"/>
  <c r="AC25" i="1"/>
  <c r="AD25" i="1" s="1"/>
  <c r="AB25" i="1"/>
  <c r="R25" i="1"/>
  <c r="S25" i="1" s="1"/>
  <c r="AC24" i="1"/>
  <c r="AD24" i="1" s="1"/>
  <c r="R24" i="1"/>
  <c r="S24" i="1" s="1"/>
  <c r="AB24" i="1"/>
  <c r="AC23" i="1"/>
  <c r="AD23" i="1" s="1"/>
  <c r="R23" i="1"/>
  <c r="S23" i="1" s="1"/>
  <c r="AB23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67" i="1"/>
  <c r="Z68" i="1"/>
  <c r="AC67" i="1"/>
  <c r="AD67" i="1" s="1"/>
  <c r="R67" i="1"/>
  <c r="S67" i="1" s="1"/>
  <c r="AB67" i="1"/>
  <c r="AC17" i="1"/>
  <c r="AD17" i="1" s="1"/>
  <c r="AB17" i="1"/>
  <c r="R17" i="1"/>
  <c r="S17" i="1" s="1"/>
  <c r="AC32" i="1"/>
  <c r="AD32" i="1" s="1"/>
  <c r="R32" i="1"/>
  <c r="S32" i="1" s="1"/>
  <c r="AB32" i="1"/>
  <c r="AC31" i="1"/>
  <c r="AD31" i="1" s="1"/>
  <c r="AB31" i="1"/>
  <c r="R31" i="1"/>
  <c r="S31" i="1" s="1"/>
  <c r="R30" i="1"/>
  <c r="S30" i="1" s="1"/>
  <c r="T30" i="1" s="1"/>
  <c r="V30" i="1" s="1"/>
  <c r="AA30" i="1" s="1"/>
  <c r="AB30" i="1"/>
  <c r="AC30" i="1"/>
  <c r="AD30" i="1" s="1"/>
  <c r="AC22" i="1"/>
  <c r="AD22" i="1" s="1"/>
  <c r="R22" i="1"/>
  <c r="S22" i="1" s="1"/>
  <c r="AB22" i="1"/>
  <c r="AC34" i="1"/>
  <c r="AD34" i="1" s="1"/>
  <c r="R34" i="1"/>
  <c r="S34" i="1" s="1"/>
  <c r="AB34" i="1"/>
  <c r="AC33" i="1"/>
  <c r="AD33" i="1" s="1"/>
  <c r="R33" i="1"/>
  <c r="S33" i="1" s="1"/>
  <c r="AB33" i="1"/>
  <c r="R29" i="1"/>
  <c r="S29" i="1" s="1"/>
  <c r="AB29" i="1"/>
  <c r="AC29" i="1"/>
  <c r="AD29" i="1" s="1"/>
  <c r="AC21" i="1"/>
  <c r="AD21" i="1" s="1"/>
  <c r="R21" i="1"/>
  <c r="S21" i="1" s="1"/>
  <c r="AB21" i="1"/>
  <c r="R28" i="1"/>
  <c r="S28" i="1" s="1"/>
  <c r="AB28" i="1"/>
  <c r="AC28" i="1"/>
  <c r="AD28" i="1" s="1"/>
  <c r="AC20" i="1"/>
  <c r="AD20" i="1" s="1"/>
  <c r="R20" i="1"/>
  <c r="S20" i="1" s="1"/>
  <c r="AB20" i="1"/>
  <c r="W75" i="1"/>
  <c r="Q75" i="1"/>
  <c r="X61" i="1" l="1"/>
  <c r="Y61" i="1" s="1"/>
  <c r="X53" i="1"/>
  <c r="Y53" i="1" s="1"/>
  <c r="X46" i="1"/>
  <c r="Y46" i="1" s="1"/>
  <c r="X44" i="1"/>
  <c r="Y44" i="1" s="1"/>
  <c r="T59" i="1"/>
  <c r="V59" i="1" s="1"/>
  <c r="AA59" i="1" s="1"/>
  <c r="T63" i="1"/>
  <c r="V63" i="1" s="1"/>
  <c r="AA63" i="1" s="1"/>
  <c r="X66" i="1"/>
  <c r="Y66" i="1" s="1"/>
  <c r="T66" i="1"/>
  <c r="V66" i="1" s="1"/>
  <c r="AA66" i="1" s="1"/>
  <c r="T43" i="1"/>
  <c r="V43" i="1" s="1"/>
  <c r="AA43" i="1" s="1"/>
  <c r="X43" i="1"/>
  <c r="Y43" i="1" s="1"/>
  <c r="X59" i="1"/>
  <c r="Y59" i="1" s="1"/>
  <c r="X58" i="1"/>
  <c r="Y58" i="1" s="1"/>
  <c r="T50" i="1"/>
  <c r="V50" i="1"/>
  <c r="AA50" i="1" s="1"/>
  <c r="S49" i="1"/>
  <c r="T49" i="1" s="1"/>
  <c r="V49" i="1" s="1"/>
  <c r="AA49" i="1" s="1"/>
  <c r="X57" i="1"/>
  <c r="Y57" i="1" s="1"/>
  <c r="X47" i="1"/>
  <c r="Y47" i="1" s="1"/>
  <c r="X55" i="1"/>
  <c r="Y55" i="1" s="1"/>
  <c r="X64" i="1"/>
  <c r="Y64" i="1" s="1"/>
  <c r="X60" i="1"/>
  <c r="Y60" i="1" s="1"/>
  <c r="T61" i="1"/>
  <c r="V61" i="1" s="1"/>
  <c r="AA61" i="1" s="1"/>
  <c r="X65" i="1"/>
  <c r="Y65" i="1" s="1"/>
  <c r="S51" i="1"/>
  <c r="T51" i="1" s="1"/>
  <c r="V51" i="1" s="1"/>
  <c r="AA51" i="1" s="1"/>
  <c r="X63" i="1"/>
  <c r="Y63" i="1" s="1"/>
  <c r="T47" i="1"/>
  <c r="V47" i="1" s="1"/>
  <c r="AA47" i="1" s="1"/>
  <c r="T55" i="1"/>
  <c r="V55" i="1" s="1"/>
  <c r="AA55" i="1" s="1"/>
  <c r="T64" i="1"/>
  <c r="V64" i="1" s="1"/>
  <c r="AA64" i="1" s="1"/>
  <c r="X41" i="1"/>
  <c r="Y41" i="1" s="1"/>
  <c r="X39" i="1"/>
  <c r="Y39" i="1" s="1"/>
  <c r="T38" i="1"/>
  <c r="V38" i="1" s="1"/>
  <c r="AA38" i="1" s="1"/>
  <c r="X38" i="1"/>
  <c r="Y38" i="1" s="1"/>
  <c r="X40" i="1"/>
  <c r="Y40" i="1" s="1"/>
  <c r="X42" i="1"/>
  <c r="Y42" i="1" s="1"/>
  <c r="X37" i="1"/>
  <c r="Y37" i="1" s="1"/>
  <c r="X36" i="1"/>
  <c r="Y36" i="1" s="1"/>
  <c r="T40" i="1"/>
  <c r="V40" i="1" s="1"/>
  <c r="AA40" i="1" s="1"/>
  <c r="T42" i="1"/>
  <c r="V42" i="1" s="1"/>
  <c r="AA42" i="1" s="1"/>
  <c r="T37" i="1"/>
  <c r="V37" i="1" s="1"/>
  <c r="AA37" i="1" s="1"/>
  <c r="T36" i="1"/>
  <c r="V36" i="1" s="1"/>
  <c r="AA36" i="1" s="1"/>
  <c r="T41" i="1"/>
  <c r="V41" i="1" s="1"/>
  <c r="AA41" i="1" s="1"/>
  <c r="T17" i="1"/>
  <c r="V17" i="1" s="1"/>
  <c r="AA17" i="1" s="1"/>
  <c r="X17" i="1"/>
  <c r="Y17" i="1" s="1"/>
  <c r="X18" i="1"/>
  <c r="Y18" i="1" s="1"/>
  <c r="X19" i="1"/>
  <c r="Y19" i="1" s="1"/>
  <c r="X30" i="1"/>
  <c r="Y30" i="1" s="1"/>
  <c r="X28" i="1"/>
  <c r="Y28" i="1" s="1"/>
  <c r="T28" i="1"/>
  <c r="V28" i="1" s="1"/>
  <c r="AA28" i="1" s="1"/>
  <c r="X26" i="1"/>
  <c r="Y26" i="1" s="1"/>
  <c r="T26" i="1"/>
  <c r="V26" i="1" s="1"/>
  <c r="AA26" i="1" s="1"/>
  <c r="X33" i="1"/>
  <c r="Y33" i="1" s="1"/>
  <c r="T33" i="1"/>
  <c r="V33" i="1" s="1"/>
  <c r="AA33" i="1" s="1"/>
  <c r="X68" i="1"/>
  <c r="Y68" i="1" s="1"/>
  <c r="T68" i="1"/>
  <c r="V68" i="1" s="1"/>
  <c r="AA68" i="1" s="1"/>
  <c r="R75" i="1"/>
  <c r="U75" i="1" s="1"/>
  <c r="V75" i="1" s="1"/>
  <c r="X75" i="1" s="1"/>
  <c r="P76" i="1" s="1"/>
  <c r="Z76" i="1" s="1"/>
  <c r="Y75" i="1"/>
  <c r="X27" i="1"/>
  <c r="Y27" i="1" s="1"/>
  <c r="T27" i="1"/>
  <c r="V27" i="1" s="1"/>
  <c r="AA27" i="1" s="1"/>
  <c r="X34" i="1"/>
  <c r="Y34" i="1" s="1"/>
  <c r="T34" i="1"/>
  <c r="V34" i="1" s="1"/>
  <c r="AA34" i="1" s="1"/>
  <c r="X23" i="1"/>
  <c r="Y23" i="1" s="1"/>
  <c r="T23" i="1"/>
  <c r="V23" i="1" s="1"/>
  <c r="AA23" i="1" s="1"/>
  <c r="X25" i="1"/>
  <c r="Y25" i="1" s="1"/>
  <c r="T25" i="1"/>
  <c r="V25" i="1" s="1"/>
  <c r="AA25" i="1" s="1"/>
  <c r="X35" i="1"/>
  <c r="Y35" i="1" s="1"/>
  <c r="T35" i="1"/>
  <c r="V35" i="1" s="1"/>
  <c r="AA35" i="1" s="1"/>
  <c r="X29" i="1"/>
  <c r="Y29" i="1" s="1"/>
  <c r="T29" i="1"/>
  <c r="V29" i="1" s="1"/>
  <c r="AA29" i="1" s="1"/>
  <c r="X20" i="1"/>
  <c r="Y20" i="1" s="1"/>
  <c r="T20" i="1"/>
  <c r="V20" i="1" s="1"/>
  <c r="AA20" i="1" s="1"/>
  <c r="X22" i="1"/>
  <c r="Y22" i="1" s="1"/>
  <c r="T22" i="1"/>
  <c r="V22" i="1" s="1"/>
  <c r="AA22" i="1" s="1"/>
  <c r="X32" i="1"/>
  <c r="Y32" i="1" s="1"/>
  <c r="T32" i="1"/>
  <c r="V32" i="1" s="1"/>
  <c r="AA32" i="1" s="1"/>
  <c r="X67" i="1"/>
  <c r="Y67" i="1" s="1"/>
  <c r="T67" i="1"/>
  <c r="V67" i="1" s="1"/>
  <c r="AA67" i="1" s="1"/>
  <c r="X21" i="1"/>
  <c r="Y21" i="1" s="1"/>
  <c r="T21" i="1"/>
  <c r="V21" i="1" s="1"/>
  <c r="AA21" i="1" s="1"/>
  <c r="X31" i="1"/>
  <c r="Y31" i="1" s="1"/>
  <c r="T31" i="1"/>
  <c r="V31" i="1" s="1"/>
  <c r="AA31" i="1" s="1"/>
  <c r="X24" i="1"/>
  <c r="Y24" i="1" s="1"/>
  <c r="T24" i="1"/>
  <c r="V24" i="1" s="1"/>
  <c r="AA24" i="1" s="1"/>
  <c r="X51" i="1" l="1"/>
  <c r="Y51" i="1" s="1"/>
  <c r="X49" i="1"/>
  <c r="Y49" i="1" s="1"/>
  <c r="AA76" i="1"/>
  <c r="W76" i="1" l="1"/>
  <c r="Q76" i="1"/>
  <c r="Y76" i="1" l="1"/>
  <c r="R76" i="1"/>
  <c r="U76" i="1" s="1"/>
  <c r="V76" i="1" s="1"/>
  <c r="X76" i="1" s="1"/>
  <c r="P77" i="1" s="1"/>
  <c r="Z77" i="1" s="1"/>
  <c r="AA77" i="1" l="1"/>
  <c r="W77" i="1" l="1"/>
  <c r="Q77" i="1"/>
  <c r="Y77" i="1" l="1"/>
  <c r="R77" i="1"/>
  <c r="U77" i="1" s="1"/>
  <c r="V77" i="1" s="1"/>
  <c r="X77" i="1" s="1"/>
  <c r="P78" i="1" s="1"/>
  <c r="Z78" i="1" s="1"/>
  <c r="AA78" i="1" l="1"/>
  <c r="W78" i="1" l="1"/>
  <c r="Q78" i="1"/>
  <c r="Y78" i="1" l="1"/>
  <c r="R78" i="1"/>
  <c r="U78" i="1" l="1"/>
  <c r="V78" i="1" s="1"/>
  <c r="X78" i="1" s="1"/>
  <c r="P79" i="1" s="1"/>
  <c r="Z79" i="1" s="1"/>
  <c r="AA79" i="1" l="1"/>
  <c r="W79" i="1" l="1"/>
  <c r="Q79" i="1"/>
  <c r="Y79" i="1" l="1"/>
  <c r="R79" i="1"/>
  <c r="U79" i="1" s="1"/>
  <c r="V79" i="1" s="1"/>
  <c r="X79" i="1" s="1"/>
  <c r="P80" i="1" s="1"/>
  <c r="Z80" i="1" s="1"/>
  <c r="AA80" i="1" l="1"/>
  <c r="W80" i="1" l="1"/>
  <c r="Q80" i="1"/>
  <c r="R80" i="1" l="1"/>
  <c r="U80" i="1" s="1"/>
  <c r="V80" i="1" s="1"/>
  <c r="X80" i="1" s="1"/>
  <c r="P81" i="1" s="1"/>
  <c r="Z81" i="1" s="1"/>
  <c r="Y80" i="1"/>
  <c r="AA81" i="1" l="1"/>
  <c r="W81" i="1" l="1"/>
  <c r="Q81" i="1"/>
  <c r="R81" i="1" l="1"/>
  <c r="U81" i="1" s="1"/>
  <c r="V81" i="1" s="1"/>
  <c r="X81" i="1" s="1"/>
  <c r="P82" i="1" s="1"/>
  <c r="Z82" i="1" s="1"/>
  <c r="Y81" i="1"/>
  <c r="AA82" i="1" l="1"/>
  <c r="W82" i="1" l="1"/>
  <c r="Q82" i="1"/>
  <c r="Y82" i="1" l="1"/>
  <c r="R82" i="1"/>
  <c r="U82" i="1" s="1"/>
  <c r="V82" i="1" s="1"/>
  <c r="X82" i="1" s="1"/>
  <c r="P83" i="1" s="1"/>
  <c r="Z83" i="1" s="1"/>
  <c r="AA83" i="1" l="1"/>
  <c r="W83" i="1" l="1"/>
  <c r="Q83" i="1"/>
  <c r="Y83" i="1" l="1"/>
  <c r="R83" i="1"/>
  <c r="U83" i="1" s="1"/>
  <c r="V83" i="1" s="1"/>
  <c r="X83" i="1" s="1"/>
  <c r="P84" i="1" s="1"/>
  <c r="Z84" i="1" s="1"/>
  <c r="AA84" i="1" l="1"/>
  <c r="W84" i="1" l="1"/>
  <c r="Q84" i="1"/>
  <c r="R84" i="1" l="1"/>
  <c r="U84" i="1" s="1"/>
  <c r="V84" i="1" s="1"/>
  <c r="X84" i="1" s="1"/>
  <c r="P85" i="1" s="1"/>
  <c r="Z85" i="1" s="1"/>
  <c r="Y84" i="1"/>
  <c r="AA85" i="1" l="1"/>
  <c r="W85" i="1" l="1"/>
  <c r="Q85" i="1"/>
  <c r="R85" i="1" l="1"/>
  <c r="U85" i="1" s="1"/>
  <c r="V85" i="1" s="1"/>
  <c r="X85" i="1" s="1"/>
  <c r="P86" i="1" s="1"/>
  <c r="Z86" i="1" s="1"/>
  <c r="Y85" i="1"/>
  <c r="AA86" i="1" l="1"/>
  <c r="W86" i="1" l="1"/>
  <c r="Q86" i="1"/>
  <c r="R86" i="1" l="1"/>
  <c r="U86" i="1" s="1"/>
  <c r="V86" i="1" s="1"/>
  <c r="X86" i="1" s="1"/>
  <c r="P87" i="1" s="1"/>
  <c r="Z87" i="1" s="1"/>
  <c r="Y86" i="1"/>
  <c r="AA87" i="1" l="1"/>
  <c r="W87" i="1" l="1"/>
  <c r="Q87" i="1"/>
  <c r="Y87" i="1" l="1"/>
  <c r="R87" i="1"/>
  <c r="U87" i="1" s="1"/>
  <c r="V87" i="1" s="1"/>
  <c r="X87" i="1" s="1"/>
  <c r="P88" i="1" s="1"/>
  <c r="Z88" i="1" s="1"/>
  <c r="AA88" i="1" l="1"/>
  <c r="W88" i="1" l="1"/>
  <c r="Q88" i="1"/>
  <c r="Y88" i="1" l="1"/>
  <c r="R88" i="1"/>
  <c r="U88" i="1" s="1"/>
  <c r="V88" i="1" s="1"/>
  <c r="X88" i="1" s="1"/>
  <c r="P89" i="1" s="1"/>
  <c r="Z89" i="1" s="1"/>
  <c r="AA89" i="1" l="1"/>
  <c r="W89" i="1" l="1"/>
  <c r="Q89" i="1"/>
  <c r="R89" i="1" l="1"/>
  <c r="U89" i="1" s="1"/>
  <c r="V89" i="1" s="1"/>
  <c r="X89" i="1" s="1"/>
  <c r="P90" i="1" s="1"/>
  <c r="Z90" i="1" s="1"/>
  <c r="Y89" i="1"/>
  <c r="AA90" i="1" l="1"/>
  <c r="W90" i="1" l="1"/>
  <c r="Q90" i="1"/>
  <c r="R90" i="1" l="1"/>
  <c r="U90" i="1" s="1"/>
  <c r="V90" i="1" s="1"/>
  <c r="X90" i="1" s="1"/>
  <c r="P91" i="1" s="1"/>
  <c r="Z91" i="1" s="1"/>
  <c r="Y90" i="1"/>
  <c r="AA91" i="1" l="1"/>
  <c r="W91" i="1" l="1"/>
  <c r="Q91" i="1"/>
  <c r="Y91" i="1" l="1"/>
  <c r="R91" i="1"/>
  <c r="U91" i="1" s="1"/>
  <c r="V91" i="1" s="1"/>
  <c r="X91" i="1" s="1"/>
  <c r="P92" i="1" s="1"/>
  <c r="Z92" i="1" s="1"/>
  <c r="AA92" i="1" l="1"/>
  <c r="W92" i="1" l="1"/>
  <c r="Q92" i="1"/>
  <c r="R92" i="1" l="1"/>
  <c r="U92" i="1" s="1"/>
  <c r="V92" i="1" s="1"/>
  <c r="X92" i="1" s="1"/>
  <c r="P93" i="1" s="1"/>
  <c r="Z93" i="1" s="1"/>
  <c r="Y92" i="1"/>
  <c r="AA93" i="1" l="1"/>
  <c r="W93" i="1" l="1"/>
  <c r="Q93" i="1"/>
  <c r="Y93" i="1" l="1"/>
  <c r="R93" i="1"/>
  <c r="U93" i="1" s="1"/>
  <c r="V93" i="1" s="1"/>
  <c r="X93" i="1" s="1"/>
  <c r="P94" i="1" s="1"/>
  <c r="Z94" i="1" s="1"/>
  <c r="AA94" i="1" l="1"/>
  <c r="W94" i="1" l="1"/>
  <c r="Q94" i="1"/>
  <c r="Y94" i="1" l="1"/>
  <c r="R94" i="1"/>
  <c r="U94" i="1" s="1"/>
  <c r="V94" i="1" s="1"/>
  <c r="X94" i="1" s="1"/>
  <c r="P95" i="1" s="1"/>
  <c r="Z95" i="1" s="1"/>
  <c r="AA95" i="1" l="1"/>
  <c r="W95" i="1" l="1"/>
  <c r="Q95" i="1"/>
  <c r="R95" i="1" l="1"/>
  <c r="U95" i="1" s="1"/>
  <c r="V95" i="1" s="1"/>
  <c r="X95" i="1" s="1"/>
  <c r="P96" i="1" s="1"/>
  <c r="Z96" i="1" s="1"/>
  <c r="Y95" i="1"/>
  <c r="AA96" i="1" l="1"/>
  <c r="W96" i="1" l="1"/>
  <c r="Q96" i="1"/>
  <c r="R96" i="1" l="1"/>
  <c r="U96" i="1" s="1"/>
  <c r="V96" i="1" s="1"/>
  <c r="X96" i="1" s="1"/>
  <c r="P97" i="1" s="1"/>
  <c r="Z97" i="1" s="1"/>
  <c r="Y96" i="1"/>
  <c r="AA97" i="1" l="1"/>
  <c r="W97" i="1" l="1"/>
  <c r="Q97" i="1"/>
  <c r="Y97" i="1" l="1"/>
  <c r="R97" i="1"/>
  <c r="U97" i="1" s="1"/>
  <c r="V97" i="1" s="1"/>
  <c r="X97" i="1" s="1"/>
  <c r="P98" i="1" s="1"/>
  <c r="Z98" i="1" s="1"/>
  <c r="AA98" i="1" l="1"/>
  <c r="W98" i="1" l="1"/>
  <c r="Q98" i="1"/>
  <c r="R98" i="1" l="1"/>
  <c r="U98" i="1" s="1"/>
  <c r="V98" i="1" s="1"/>
  <c r="X98" i="1" s="1"/>
  <c r="P99" i="1" s="1"/>
  <c r="Y98" i="1"/>
  <c r="Z99" i="1" l="1"/>
  <c r="AA99" i="1"/>
  <c r="W99" i="1" l="1"/>
  <c r="Q99" i="1"/>
  <c r="R99" i="1" l="1"/>
  <c r="U99" i="1" s="1"/>
  <c r="V99" i="1" s="1"/>
  <c r="X99" i="1" s="1"/>
  <c r="P100" i="1" s="1"/>
  <c r="Y99" i="1"/>
  <c r="Z100" i="1" l="1"/>
  <c r="AA100" i="1"/>
  <c r="W100" i="1" l="1"/>
  <c r="Q100" i="1"/>
  <c r="R100" i="1" l="1"/>
  <c r="Y100" i="1"/>
  <c r="U100" i="1" l="1"/>
  <c r="V100" i="1" s="1"/>
  <c r="X100" i="1" s="1"/>
  <c r="P101" i="1" s="1"/>
  <c r="Z101" i="1" l="1"/>
  <c r="AA101" i="1"/>
  <c r="W101" i="1" l="1"/>
  <c r="Q101" i="1"/>
  <c r="Y101" i="1" l="1"/>
  <c r="R101" i="1"/>
  <c r="U101" i="1" l="1"/>
  <c r="V101" i="1" s="1"/>
  <c r="X101" i="1" s="1"/>
  <c r="P102" i="1" s="1"/>
  <c r="Z102" i="1" l="1"/>
  <c r="AA102" i="1"/>
  <c r="W102" i="1" l="1"/>
  <c r="Q102" i="1"/>
  <c r="Y102" i="1" l="1"/>
  <c r="R102" i="1"/>
  <c r="U102" i="1" l="1"/>
  <c r="V102" i="1" s="1"/>
  <c r="X102" i="1" s="1"/>
  <c r="P103" i="1" s="1"/>
  <c r="Z103" i="1" l="1"/>
  <c r="AA103" i="1"/>
  <c r="W103" i="1" l="1"/>
  <c r="Q103" i="1"/>
  <c r="Y103" i="1" l="1"/>
  <c r="R103" i="1"/>
  <c r="U103" i="1" l="1"/>
  <c r="V103" i="1" s="1"/>
  <c r="X103" i="1" s="1"/>
  <c r="P104" i="1" s="1"/>
  <c r="Z104" i="1" l="1"/>
  <c r="AA104" i="1"/>
  <c r="W104" i="1" l="1"/>
  <c r="Q104" i="1"/>
  <c r="Y104" i="1" l="1"/>
  <c r="R104" i="1"/>
  <c r="U104" i="1" l="1"/>
  <c r="V104" i="1" s="1"/>
  <c r="X104" i="1" s="1"/>
  <c r="P105" i="1" s="1"/>
  <c r="Z105" i="1" l="1"/>
  <c r="AA105" i="1"/>
  <c r="W105" i="1" l="1"/>
  <c r="Q105" i="1"/>
  <c r="R105" i="1" l="1"/>
  <c r="U105" i="1" s="1"/>
  <c r="V105" i="1" s="1"/>
  <c r="X105" i="1" s="1"/>
  <c r="P106" i="1" s="1"/>
  <c r="Y105" i="1"/>
  <c r="Z106" i="1" l="1"/>
  <c r="AA106" i="1"/>
  <c r="Q106" i="1" l="1"/>
  <c r="W106" i="1"/>
  <c r="Y106" i="1" l="1"/>
  <c r="R106" i="1"/>
  <c r="U106" i="1" s="1"/>
  <c r="V106" i="1" s="1"/>
  <c r="X106" i="1" s="1"/>
  <c r="P107" i="1" s="1"/>
  <c r="Z107" i="1" l="1"/>
  <c r="AA107" i="1"/>
  <c r="Q107" i="1" l="1"/>
  <c r="W107" i="1"/>
  <c r="R107" i="1" l="1"/>
  <c r="Y107" i="1"/>
  <c r="U107" i="1" l="1"/>
  <c r="V107" i="1" s="1"/>
  <c r="X107" i="1" s="1"/>
  <c r="P108" i="1" s="1"/>
  <c r="Z108" i="1" l="1"/>
  <c r="AA108" i="1"/>
  <c r="W108" i="1" l="1"/>
  <c r="Q108" i="1"/>
  <c r="Y108" i="1" l="1"/>
  <c r="R108" i="1"/>
  <c r="U108" i="1" l="1"/>
  <c r="V108" i="1" s="1"/>
  <c r="X108" i="1" s="1"/>
  <c r="P109" i="1" s="1"/>
  <c r="Z109" i="1" l="1"/>
  <c r="AA109" i="1"/>
  <c r="W109" i="1" l="1"/>
  <c r="Q109" i="1"/>
  <c r="R109" i="1" l="1"/>
  <c r="Y109" i="1"/>
  <c r="U109" i="1" l="1"/>
  <c r="V109" i="1" s="1"/>
  <c r="X109" i="1" s="1"/>
  <c r="P110" i="1" s="1"/>
  <c r="Z110" i="1" l="1"/>
  <c r="AA110" i="1"/>
  <c r="Q110" i="1" l="1"/>
  <c r="W110" i="1"/>
  <c r="Y110" i="1" l="1"/>
  <c r="R110" i="1"/>
  <c r="U110" i="1" l="1"/>
  <c r="V110" i="1" s="1"/>
  <c r="X110" i="1" s="1"/>
  <c r="P111" i="1" s="1"/>
  <c r="Z111" i="1" l="1"/>
  <c r="AA111" i="1"/>
  <c r="W111" i="1" l="1"/>
  <c r="Q111" i="1"/>
  <c r="R111" i="1" l="1"/>
  <c r="U111" i="1" s="1"/>
  <c r="V111" i="1" s="1"/>
  <c r="X111" i="1" s="1"/>
  <c r="P112" i="1" s="1"/>
  <c r="Y111" i="1"/>
  <c r="Z112" i="1" l="1"/>
  <c r="AA112" i="1"/>
  <c r="W112" i="1" l="1"/>
  <c r="Q112" i="1"/>
  <c r="R112" i="1" l="1"/>
  <c r="U112" i="1" s="1"/>
  <c r="V112" i="1" s="1"/>
  <c r="X112" i="1" s="1"/>
  <c r="P113" i="1" s="1"/>
  <c r="Y112" i="1"/>
  <c r="Z113" i="1" l="1"/>
  <c r="AA113" i="1"/>
  <c r="W113" i="1" l="1"/>
  <c r="Q113" i="1"/>
  <c r="R113" i="1" l="1"/>
  <c r="U113" i="1" s="1"/>
  <c r="V113" i="1" s="1"/>
  <c r="X113" i="1" s="1"/>
  <c r="P114" i="1" s="1"/>
  <c r="Y113" i="1"/>
  <c r="Z114" i="1" l="1"/>
  <c r="AA114" i="1"/>
  <c r="Q114" i="1" l="1"/>
  <c r="W114" i="1"/>
  <c r="Y114" i="1" l="1"/>
  <c r="R114" i="1"/>
  <c r="U114" i="1" l="1"/>
  <c r="V114" i="1" s="1"/>
  <c r="X114" i="1" s="1"/>
  <c r="P115" i="1" s="1"/>
  <c r="Z115" i="1" l="1"/>
  <c r="AA115" i="1"/>
  <c r="Q115" i="1" l="1"/>
  <c r="W115" i="1"/>
  <c r="Y115" i="1" l="1"/>
  <c r="R115" i="1"/>
  <c r="U115" i="1" s="1"/>
  <c r="V115" i="1" s="1"/>
  <c r="X115" i="1" s="1"/>
  <c r="P116" i="1" s="1"/>
  <c r="Z116" i="1" l="1"/>
  <c r="AA116" i="1"/>
  <c r="Q116" i="1" l="1"/>
  <c r="W116" i="1"/>
  <c r="Y116" i="1" l="1"/>
  <c r="R116" i="1"/>
  <c r="U116" i="1" l="1"/>
  <c r="V116" i="1" s="1"/>
  <c r="X116" i="1" s="1"/>
  <c r="P117" i="1" s="1"/>
  <c r="Z117" i="1" l="1"/>
  <c r="AA117" i="1"/>
  <c r="Q117" i="1" l="1"/>
  <c r="W117" i="1"/>
  <c r="Y117" i="1" l="1"/>
  <c r="R117" i="1"/>
  <c r="U117" i="1" s="1"/>
  <c r="V117" i="1" s="1"/>
  <c r="X117" i="1" s="1"/>
  <c r="P118" i="1" s="1"/>
  <c r="Z118" i="1" l="1"/>
  <c r="AA118" i="1"/>
  <c r="Q118" i="1" l="1"/>
  <c r="W118" i="1"/>
  <c r="R118" i="1" l="1"/>
  <c r="Y118" i="1"/>
  <c r="U118" i="1" l="1"/>
  <c r="V118" i="1" s="1"/>
  <c r="X118" i="1" s="1"/>
  <c r="P119" i="1" s="1"/>
  <c r="Z119" i="1" l="1"/>
  <c r="AA119" i="1"/>
  <c r="Q119" i="1" l="1"/>
  <c r="W119" i="1"/>
  <c r="Y119" i="1" l="1"/>
  <c r="R119" i="1"/>
  <c r="U119" i="1" s="1"/>
  <c r="V119" i="1" s="1"/>
  <c r="X119" i="1" s="1"/>
  <c r="P120" i="1" s="1"/>
  <c r="Z120" i="1" l="1"/>
  <c r="AA120" i="1"/>
  <c r="Q120" i="1" l="1"/>
  <c r="W120" i="1"/>
  <c r="R120" i="1" l="1"/>
  <c r="Y120" i="1"/>
  <c r="U120" i="1" l="1"/>
  <c r="V120" i="1" s="1"/>
  <c r="X120" i="1" s="1"/>
  <c r="P121" i="1" s="1"/>
  <c r="Z121" i="1" l="1"/>
  <c r="AA121" i="1"/>
  <c r="W121" i="1" l="1"/>
  <c r="Q121" i="1"/>
  <c r="R121" i="1" l="1"/>
  <c r="Y121" i="1"/>
  <c r="U121" i="1" l="1"/>
  <c r="V121" i="1" s="1"/>
  <c r="X121" i="1" s="1"/>
  <c r="P122" i="1" s="1"/>
  <c r="Z122" i="1" l="1"/>
  <c r="AA122" i="1"/>
  <c r="Q122" i="1" l="1"/>
  <c r="W122" i="1"/>
  <c r="Y122" i="1" l="1"/>
  <c r="R122" i="1"/>
  <c r="U122" i="1" s="1"/>
  <c r="V122" i="1" s="1"/>
  <c r="X122" i="1" s="1"/>
  <c r="P123" i="1" s="1"/>
  <c r="Z123" i="1" l="1"/>
  <c r="AA123" i="1"/>
  <c r="Q123" i="1" l="1"/>
  <c r="W123" i="1"/>
  <c r="R123" i="1" l="1"/>
  <c r="U123" i="1" s="1"/>
  <c r="V123" i="1" s="1"/>
  <c r="X123" i="1" s="1"/>
  <c r="P124" i="1" s="1"/>
  <c r="Y123" i="1"/>
  <c r="Z124" i="1" l="1"/>
  <c r="AA124" i="1"/>
  <c r="Q124" i="1" l="1"/>
  <c r="W124" i="1"/>
  <c r="Y124" i="1" l="1"/>
  <c r="R124" i="1"/>
  <c r="U124" i="1" s="1"/>
  <c r="V124" i="1" s="1"/>
  <c r="X124" i="1" s="1"/>
  <c r="P125" i="1" s="1"/>
  <c r="Z125" i="1" l="1"/>
  <c r="AA125" i="1"/>
  <c r="Q125" i="1" l="1"/>
  <c r="W125" i="1"/>
  <c r="R125" i="1" l="1"/>
  <c r="Y125" i="1"/>
  <c r="U125" i="1" l="1"/>
  <c r="V125" i="1" s="1"/>
  <c r="X125" i="1" s="1"/>
  <c r="P126" i="1" s="1"/>
  <c r="Z126" i="1" l="1"/>
  <c r="AA126" i="1"/>
  <c r="Q126" i="1" l="1"/>
  <c r="W126" i="1"/>
  <c r="Y126" i="1" l="1"/>
  <c r="R126" i="1"/>
  <c r="U126" i="1" s="1"/>
  <c r="V126" i="1" s="1"/>
  <c r="X126" i="1" s="1"/>
  <c r="P127" i="1" s="1"/>
  <c r="Z127" i="1" l="1"/>
  <c r="AA127" i="1"/>
  <c r="Q127" i="1" l="1"/>
  <c r="W127" i="1"/>
  <c r="R127" i="1" l="1"/>
  <c r="Y127" i="1"/>
  <c r="U127" i="1" l="1"/>
  <c r="V127" i="1" s="1"/>
  <c r="X127" i="1" s="1"/>
  <c r="P128" i="1" s="1"/>
  <c r="Z128" i="1" l="1"/>
  <c r="AA128" i="1"/>
  <c r="Q128" i="1" l="1"/>
  <c r="W128" i="1"/>
  <c r="Y128" i="1" l="1"/>
  <c r="R128" i="1"/>
  <c r="U128" i="1" s="1"/>
  <c r="V128" i="1" s="1"/>
  <c r="X128" i="1" s="1"/>
  <c r="P129" i="1" s="1"/>
  <c r="Z129" i="1" l="1"/>
  <c r="AA129" i="1"/>
  <c r="Q129" i="1" l="1"/>
  <c r="W129" i="1"/>
  <c r="Y129" i="1" l="1"/>
  <c r="R129" i="1"/>
  <c r="U129" i="1" s="1"/>
  <c r="V129" i="1" s="1"/>
  <c r="X129" i="1" s="1"/>
  <c r="P130" i="1" s="1"/>
  <c r="Z130" i="1" l="1"/>
  <c r="AA130" i="1"/>
  <c r="Q130" i="1" l="1"/>
  <c r="W130" i="1"/>
  <c r="R130" i="1" l="1"/>
  <c r="U130" i="1" s="1"/>
  <c r="V130" i="1" s="1"/>
  <c r="X130" i="1" s="1"/>
  <c r="P131" i="1" s="1"/>
  <c r="Y130" i="1"/>
  <c r="Z131" i="1" l="1"/>
  <c r="AA131" i="1"/>
  <c r="Q131" i="1" l="1"/>
  <c r="W131" i="1"/>
  <c r="R131" i="1" l="1"/>
  <c r="U131" i="1" s="1"/>
  <c r="V131" i="1" s="1"/>
  <c r="X131" i="1" s="1"/>
  <c r="P132" i="1" s="1"/>
  <c r="Y131" i="1"/>
  <c r="Z132" i="1" l="1"/>
  <c r="AA132" i="1"/>
  <c r="Q132" i="1" l="1"/>
  <c r="W132" i="1"/>
  <c r="R132" i="1" l="1"/>
  <c r="U132" i="1" s="1"/>
  <c r="V132" i="1" s="1"/>
  <c r="X132" i="1" s="1"/>
  <c r="P133" i="1" s="1"/>
  <c r="Y132" i="1"/>
  <c r="Z133" i="1" l="1"/>
  <c r="AA133" i="1"/>
  <c r="Q133" i="1" l="1"/>
  <c r="W133" i="1"/>
  <c r="R133" i="1" l="1"/>
  <c r="U133" i="1" s="1"/>
  <c r="V133" i="1" s="1"/>
  <c r="X133" i="1" s="1"/>
  <c r="P134" i="1" s="1"/>
  <c r="Y133" i="1"/>
  <c r="Z134" i="1" l="1"/>
  <c r="AA134" i="1"/>
  <c r="Q134" i="1" l="1"/>
  <c r="W134" i="1"/>
  <c r="R134" i="1" l="1"/>
  <c r="U134" i="1" s="1"/>
  <c r="V134" i="1" s="1"/>
  <c r="X134" i="1" s="1"/>
  <c r="Y134" i="1"/>
  <c r="B39" i="1"/>
  <c r="B40" i="1"/>
  <c r="K2" i="3"/>
  <c r="K4" i="3" l="1"/>
  <c r="K5" i="3"/>
</calcChain>
</file>

<file path=xl/sharedStrings.xml><?xml version="1.0" encoding="utf-8"?>
<sst xmlns="http://schemas.openxmlformats.org/spreadsheetml/2006/main" count="246" uniqueCount="177">
  <si>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</si>
  <si>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</si>
  <si>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</si>
  <si>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</si>
  <si>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</si>
  <si>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</si>
  <si>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</si>
  <si>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</si>
  <si>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</si>
  <si>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</si>
  <si>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</si>
  <si>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</si>
  <si>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</si>
  <si>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</si>
  <si>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</si>
  <si>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</si>
  <si>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</si>
  <si>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</si>
  <si>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</si>
  <si>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</si>
  <si>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</si>
  <si>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</si>
  <si>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</si>
  <si>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</si>
  <si>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</si>
  <si>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</si>
  <si>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</si>
  <si>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</si>
  <si>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</si>
  <si>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</si>
  <si>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</si>
  <si>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</si>
  <si>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</si>
  <si>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</si>
  <si>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</si>
  <si>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</si>
  <si>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</si>
  <si>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</si>
  <si>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</si>
  <si>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</si>
  <si>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</si>
  <si>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</si>
  <si>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Weight Per Cell</t>
  </si>
  <si>
    <t>Battery Weight</t>
  </si>
  <si>
    <t>Number of Cells</t>
  </si>
  <si>
    <t>Watt/Cell</t>
  </si>
  <si>
    <t>cells</t>
  </si>
  <si>
    <t>W/cell</t>
  </si>
  <si>
    <t>Watts</t>
  </si>
  <si>
    <t>Air Speed</t>
  </si>
  <si>
    <t>Thrust</t>
  </si>
  <si>
    <t>x^2</t>
  </si>
  <si>
    <t>x</t>
  </si>
  <si>
    <t>Graupner 5.5x4.3</t>
  </si>
  <si>
    <t>230 W Nominal</t>
  </si>
  <si>
    <t>HeadWind</t>
  </si>
  <si>
    <t>kts</t>
  </si>
  <si>
    <t>lbm/cell</t>
  </si>
  <si>
    <t xml:space="preserve">lbm  </t>
  </si>
  <si>
    <t>Battery Watts @ 10 min</t>
  </si>
  <si>
    <t>Battery Watts @ 3 min</t>
  </si>
  <si>
    <t>Power Draw (2 motors)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</si>
  <si>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</si>
  <si>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</si>
  <si>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</si>
  <si>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</si>
  <si>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</si>
  <si>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</si>
  <si>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</si>
  <si>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</si>
  <si>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</si>
  <si>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</si>
  <si>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</si>
  <si>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</si>
  <si>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</si>
  <si>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</si>
  <si>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</si>
  <si>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</si>
  <si>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</si>
  <si>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</si>
  <si>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</si>
  <si>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</si>
  <si>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</si>
  <si>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</si>
  <si>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</si>
  <si>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</si>
  <si>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</si>
  <si>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</si>
  <si>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</si>
  <si>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</si>
  <si>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</si>
  <si>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</si>
  <si>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 xml:space="preserve">oz </t>
  </si>
  <si>
    <t>payload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</si>
  <si>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</si>
  <si>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</si>
  <si>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</si>
  <si>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</si>
  <si>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</si>
  <si>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</si>
  <si>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</si>
  <si>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</si>
  <si>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</si>
  <si>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</si>
  <si>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</si>
  <si>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</si>
  <si>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</si>
  <si>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</si>
  <si>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</si>
  <si>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</si>
  <si>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</si>
  <si>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</si>
  <si>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</si>
  <si>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</si>
  <si>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</si>
  <si>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</si>
  <si>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</si>
  <si>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</si>
  <si>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</si>
  <si>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</si>
  <si>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</si>
  <si>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</si>
  <si>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</si>
  <si>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</si>
  <si>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</si>
  <si>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</si>
  <si>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</si>
  <si>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</si>
  <si>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</si>
  <si>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</si>
  <si>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</si>
  <si>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</si>
  <si>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</si>
  <si>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</si>
  <si>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</si>
  <si>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</si>
  <si>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</si>
  <si>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</si>
  <si>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</si>
  <si>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</si>
  <si>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</si>
  <si>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</si>
  <si>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</si>
  <si>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</si>
  <si>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t>28% CRUD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</si>
  <si>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</si>
  <si>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</si>
  <si>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</si>
  <si>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</si>
  <si>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</si>
  <si>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</si>
  <si>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</si>
  <si>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</si>
  <si>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</si>
  <si>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</si>
  <si>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</si>
  <si>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</si>
  <si>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</si>
  <si>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</si>
  <si>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</si>
  <si>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</si>
  <si>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</si>
  <si>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</si>
  <si>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</si>
  <si>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</si>
  <si>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</si>
  <si>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</si>
  <si>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Length (in)</t>
  </si>
  <si>
    <t>Crud Height (in)</t>
  </si>
  <si>
    <t>Total Width (in)</t>
  </si>
  <si>
    <t>Total Length (in)</t>
  </si>
  <si>
    <t>Total height (in)</t>
  </si>
  <si>
    <t>full payload</t>
  </si>
  <si>
    <t>CDA</t>
  </si>
  <si>
    <t>version 2.1.4 - w/ macros for trade studies, named cells, zero-lift-drag calculator, and aircraft dimension calculator</t>
  </si>
  <si>
    <t>\</t>
  </si>
  <si>
    <t>REDONE FOR SQUARE FUSELAGE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</si>
</sst>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12" borderId="14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2" fillId="0" borderId="12" xfId="0" applyFont="1" applyBorder="1" applyAlignment="1">
      <alignment horizontal="center"/>
    </xf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0656"/>
        <c:axId val="206232192"/>
      </c:scatterChart>
      <c:valAx>
        <c:axId val="20623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2192"/>
        <c:crosses val="autoZero"/>
        <c:crossBetween val="midCat"/>
      </c:valAx>
      <c:valAx>
        <c:axId val="20623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28% CRUD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1.4484697902936992E-2</c:v>
                </c:pt>
                <c:pt idx="1">
                  <c:v>4.808987103667374E-3</c:v>
                </c:pt>
                <c:pt idx="2">
                  <c:v>1.0670457674256007E-3</c:v>
                </c:pt>
                <c:pt idx="3">
                  <c:v>3.3696182129229501E-4</c:v>
                </c:pt>
                <c:pt idx="4">
                  <c:v>7.626666666666667E-4</c:v>
                </c:pt>
                <c:pt idx="5">
                  <c:v>1.0416666666666666E-2</c:v>
                </c:pt>
                <c:pt idx="6">
                  <c:v>6.0089005933569003E-3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23</xdr:row>
      <xdr:rowOff>171450</xdr:rowOff>
    </xdr:from>
    <xdr:to>
      <xdr:col>12</xdr:col>
      <xdr:colOff>285750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34"/>
  <sheetViews>
    <sheetView tabSelected="1" topLeftCell="I1" zoomScaleNormal="100" workbookViewId="0">
      <selection activeCell="R13" sqref="R13"/>
    </sheetView>
  </sheetViews>
  <sheetFormatPr defaultRowHeight="15" x14ac:dyDescent="0.25"/>
  <cols>
    <col min="1" max="1" width="28" style="1" bestFit="1" customWidth="1"/>
    <col min="2" max="5" width="10.7109375" style="1" customWidth="1"/>
    <col min="12" max="12" width="20.5703125" customWidth="1"/>
    <col min="17" max="17" width="10.5703125" bestFit="1" customWidth="1"/>
    <col min="20" max="20" width="9.140625" customWidth="1"/>
    <col min="22" max="22" width="9.5703125" bestFit="1" customWidth="1"/>
    <col min="23" max="23" width="10.42578125" customWidth="1"/>
    <col min="24" max="24" width="11" customWidth="1"/>
    <col min="25" max="25" width="10.5703125" bestFit="1" customWidth="1"/>
    <col min="26" max="26" width="11.5703125" bestFit="1" customWidth="1"/>
    <col min="28" max="28" width="10.5703125" bestFit="1" customWidth="1"/>
    <col min="29" max="29" width="10.28515625" bestFit="1" customWidth="1"/>
    <col min="30" max="30" width="11.28515625" bestFit="1" customWidth="1"/>
  </cols>
  <sheetData>
    <row r="1" spans="1:30" s="34" customFormat="1" ht="26.25" x14ac:dyDescent="0.4">
      <c r="A1" s="34" t="s">
        <v>62</v>
      </c>
    </row>
    <row r="2" spans="1:30" x14ac:dyDescent="0.25">
      <c r="A2" s="79"/>
      <c r="B2" s="2" t="s">
        <v>174</v>
      </c>
    </row>
    <row r="4" spans="1:30" x14ac:dyDescent="0.25">
      <c r="B4" s="1" t="s">
        <v>175</v>
      </c>
    </row>
    <row r="5" spans="1:30" x14ac:dyDescent="0.25">
      <c r="A5" s="32" t="s">
        <v>53</v>
      </c>
      <c r="B5" s="32" t="s">
        <v>49</v>
      </c>
      <c r="C5" s="32" t="s">
        <v>50</v>
      </c>
      <c r="J5" t="s">
        <v>103</v>
      </c>
      <c r="L5" t="s">
        <v>104</v>
      </c>
    </row>
    <row r="6" spans="1:30" x14ac:dyDescent="0.25">
      <c r="A6" s="1" t="s">
        <v>54</v>
      </c>
      <c r="B6">
        <v>8.4885999999999999</v>
      </c>
      <c r="C6">
        <v>1.2971999999999999</v>
      </c>
      <c r="E6" s="2"/>
      <c r="F6" s="1"/>
      <c r="G6" t="s">
        <v>94</v>
      </c>
      <c r="J6" s="1">
        <v>20</v>
      </c>
      <c r="K6" t="s">
        <v>34</v>
      </c>
      <c r="L6" s="1">
        <v>20</v>
      </c>
    </row>
    <row r="7" spans="1:30" x14ac:dyDescent="0.25">
      <c r="A7" s="1">
        <v>230</v>
      </c>
      <c r="B7">
        <v>17.124500000000001</v>
      </c>
      <c r="C7">
        <v>1.2618</v>
      </c>
      <c r="G7" t="s">
        <v>95</v>
      </c>
      <c r="J7" s="1">
        <v>45</v>
      </c>
      <c r="K7" t="s">
        <v>34</v>
      </c>
      <c r="L7" s="1">
        <v>34</v>
      </c>
      <c r="O7" s="81" t="s">
        <v>15</v>
      </c>
      <c r="P7" s="81"/>
      <c r="Q7" s="81"/>
      <c r="Y7">
        <v>20</v>
      </c>
    </row>
    <row r="8" spans="1:30" x14ac:dyDescent="0.25">
      <c r="B8">
        <v>25.608000000000001</v>
      </c>
      <c r="C8">
        <v>1.1561999999999999</v>
      </c>
      <c r="G8" t="s">
        <v>96</v>
      </c>
      <c r="I8" s="1"/>
      <c r="J8" s="1">
        <v>11.786642022880073</v>
      </c>
      <c r="K8" t="s">
        <v>81</v>
      </c>
      <c r="L8" s="37" t="str">
        <f>IF(J8&gt;150,"WARNING! T/O DIST", IF((L7-L6)&lt;10,"WARNING! TURN PERF!",""))</f>
        <v/>
      </c>
      <c r="O8" s="3" t="s">
        <v>16</v>
      </c>
      <c r="P8" s="3">
        <f>(P12/(P12+3))*0.11*13</f>
        <v>0.89375000000000004</v>
      </c>
      <c r="Q8" s="3"/>
      <c r="S8" s="4" t="s">
        <v>23</v>
      </c>
      <c r="T8" s="4"/>
      <c r="U8" s="4">
        <f>P10/P8/P13</f>
        <v>1.696969696969697</v>
      </c>
      <c r="V8" s="4" t="s">
        <v>24</v>
      </c>
      <c r="Y8">
        <f>Y7/1.15</f>
        <v>17.39130434782609</v>
      </c>
    </row>
    <row r="9" spans="1:30" x14ac:dyDescent="0.25">
      <c r="B9">
        <v>35.012900000000002</v>
      </c>
      <c r="C9">
        <v>0.9909</v>
      </c>
      <c r="E9" s="1">
        <f>420/230</f>
        <v>1.826086956521739</v>
      </c>
      <c r="G9" t="s">
        <v>97</v>
      </c>
      <c r="I9" s="1"/>
      <c r="J9" s="1">
        <v>21</v>
      </c>
      <c r="K9" t="s">
        <v>34</v>
      </c>
      <c r="L9" s="1">
        <v>21</v>
      </c>
      <c r="O9" s="3" t="s">
        <v>14</v>
      </c>
      <c r="P9" s="56">
        <v>2</v>
      </c>
      <c r="Q9" s="3"/>
      <c r="S9" s="4" t="s">
        <v>25</v>
      </c>
      <c r="T9" s="4"/>
      <c r="U9" s="4">
        <f>SQRT(U8/1481)</f>
        <v>3.3850065571720662E-2</v>
      </c>
      <c r="V9" s="4"/>
    </row>
    <row r="10" spans="1:30" x14ac:dyDescent="0.25">
      <c r="B10">
        <v>39.633200000000002</v>
      </c>
      <c r="C10">
        <v>0.9647</v>
      </c>
      <c r="G10" t="s">
        <v>98</v>
      </c>
      <c r="I10" s="1"/>
      <c r="J10" s="1">
        <v>45</v>
      </c>
      <c r="K10" t="s">
        <v>34</v>
      </c>
      <c r="L10" s="1">
        <v>34</v>
      </c>
      <c r="O10" s="3" t="s">
        <v>3</v>
      </c>
      <c r="P10" s="3">
        <v>9.1</v>
      </c>
      <c r="Q10" s="3" t="s">
        <v>9</v>
      </c>
      <c r="S10" s="4" t="s">
        <v>33</v>
      </c>
      <c r="T10" s="4"/>
      <c r="U10" s="4">
        <f>U9*661</f>
        <v>22.37489334290736</v>
      </c>
      <c r="V10" s="4" t="s">
        <v>34</v>
      </c>
    </row>
    <row r="11" spans="1:30" x14ac:dyDescent="0.25">
      <c r="B11">
        <v>44.359299999999998</v>
      </c>
      <c r="C11">
        <v>0.87090000000000001</v>
      </c>
      <c r="G11" t="s">
        <v>99</v>
      </c>
      <c r="I11" s="1"/>
      <c r="J11" s="1">
        <v>24.494395581202728</v>
      </c>
      <c r="K11" t="s">
        <v>81</v>
      </c>
      <c r="L11" s="38" t="str">
        <f>IF(J11&gt;150,"WARNING! T/O DIST", IF((L10-L9)&lt;10,"WARNING! TURN PERF!",""))</f>
        <v/>
      </c>
      <c r="O11" s="3" t="s">
        <v>2</v>
      </c>
      <c r="P11" s="54">
        <f>'CD0 calculator'!F30</f>
        <v>3.7885926522012496E-2</v>
      </c>
      <c r="Q11" s="3"/>
      <c r="S11" s="3" t="s">
        <v>29</v>
      </c>
      <c r="T11" s="3"/>
      <c r="U11" s="3">
        <v>0</v>
      </c>
    </row>
    <row r="12" spans="1:30" x14ac:dyDescent="0.25">
      <c r="B12">
        <v>49.3264</v>
      </c>
      <c r="C12">
        <v>0.79720000000000002</v>
      </c>
      <c r="G12" t="s">
        <v>101</v>
      </c>
      <c r="I12" s="1"/>
      <c r="J12" s="1">
        <v>23</v>
      </c>
      <c r="K12" t="s">
        <v>34</v>
      </c>
      <c r="L12" s="1">
        <v>23</v>
      </c>
      <c r="O12" s="3" t="s">
        <v>12</v>
      </c>
      <c r="P12" s="55">
        <f>AR</f>
        <v>5</v>
      </c>
      <c r="Q12" s="3"/>
      <c r="S12" s="3" t="s">
        <v>38</v>
      </c>
      <c r="T12" s="3"/>
      <c r="U12" s="3">
        <v>0.05</v>
      </c>
    </row>
    <row r="13" spans="1:30" x14ac:dyDescent="0.25">
      <c r="B13">
        <v>54.162799999999997</v>
      </c>
      <c r="C13">
        <v>0.70399999999999996</v>
      </c>
      <c r="G13" t="s">
        <v>102</v>
      </c>
      <c r="I13" s="1"/>
      <c r="J13" s="1">
        <v>45</v>
      </c>
      <c r="K13" t="s">
        <v>34</v>
      </c>
      <c r="L13" s="1">
        <v>34</v>
      </c>
      <c r="O13" s="3" t="s">
        <v>7</v>
      </c>
      <c r="P13" s="55">
        <f>Sref</f>
        <v>6</v>
      </c>
      <c r="Q13" s="3" t="s">
        <v>8</v>
      </c>
      <c r="S13" s="35" t="s">
        <v>80</v>
      </c>
      <c r="U13">
        <f>SQRT(P13*P12)</f>
        <v>5.4772255750516612</v>
      </c>
      <c r="V13" t="s">
        <v>81</v>
      </c>
      <c r="X13" t="s">
        <v>82</v>
      </c>
    </row>
    <row r="14" spans="1:30" x14ac:dyDescent="0.25">
      <c r="B14">
        <v>59.412700000000001</v>
      </c>
      <c r="C14">
        <v>0.61890000000000001</v>
      </c>
      <c r="G14" t="s">
        <v>100</v>
      </c>
      <c r="I14" s="1"/>
      <c r="J14" s="1">
        <v>37.724782710549498</v>
      </c>
      <c r="K14" t="s">
        <v>81</v>
      </c>
      <c r="L14" s="38" t="str">
        <f>IF(J14&gt;150,"WARNING! T/O DIST", IF((L13-L12)&lt;10,"WARNING! TURN PERF!",""))</f>
        <v/>
      </c>
      <c r="O14" s="33" t="s">
        <v>55</v>
      </c>
      <c r="P14" s="56">
        <v>15</v>
      </c>
      <c r="Q14" s="3" t="s">
        <v>56</v>
      </c>
    </row>
    <row r="15" spans="1:30" ht="45" x14ac:dyDescent="0.25">
      <c r="I15" s="1"/>
      <c r="J15" s="1"/>
      <c r="O15" s="5" t="s">
        <v>1</v>
      </c>
      <c r="P15" s="5" t="s">
        <v>4</v>
      </c>
      <c r="Q15" s="5" t="s">
        <v>5</v>
      </c>
      <c r="R15" s="5" t="s">
        <v>6</v>
      </c>
      <c r="S15" s="5" t="s">
        <v>10</v>
      </c>
      <c r="T15" s="5" t="s">
        <v>11</v>
      </c>
      <c r="U15" s="5" t="s">
        <v>32</v>
      </c>
      <c r="V15" s="5" t="s">
        <v>148</v>
      </c>
      <c r="W15" s="5" t="s">
        <v>17</v>
      </c>
      <c r="X15" s="5" t="s">
        <v>18</v>
      </c>
      <c r="Y15" s="5" t="s">
        <v>19</v>
      </c>
      <c r="Z15" s="5" t="s">
        <v>31</v>
      </c>
      <c r="AA15" s="5" t="s">
        <v>35</v>
      </c>
      <c r="AB15" s="5" t="s">
        <v>37</v>
      </c>
      <c r="AC15" s="5" t="s">
        <v>149</v>
      </c>
      <c r="AD15" s="5" t="s">
        <v>36</v>
      </c>
    </row>
    <row r="16" spans="1:30" ht="14.45" x14ac:dyDescent="0.3">
      <c r="G16" t="s">
        <v>147</v>
      </c>
      <c r="I16" s="1"/>
      <c r="J16" s="1"/>
      <c r="L16">
        <f>IF(B24&lt;B23,IF(MISSION1_WARNING="",IF(MISSION2_WARNING="",IF(MISSION3_WARNING="",1,0.1),0.1),0.1),0.1)</f>
        <v>1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9" t="str">
        <f>IF(W16&lt;1,"",$P$10/Q16/$P$13)</f>
        <v/>
      </c>
      <c r="S16" s="9" t="str">
        <f>IF(W16&lt;1,"",R16^2/(PI()*$P$12)+$P$11)</f>
        <v/>
      </c>
      <c r="T16" s="8" t="str">
        <f>IF(S16="","",Q16*S16*$P$13)</f>
        <v/>
      </c>
      <c r="U16" s="8">
        <f>$P$9*($G$28*O16^2+$G$29*O16+$G$30)</f>
        <v>2.6073999999999997</v>
      </c>
      <c r="V16" s="6" t="str">
        <f>IF(S16="","",(U16-T16)/$P$10)</f>
        <v/>
      </c>
      <c r="W16" s="10">
        <f>P16/$U$9</f>
        <v>0.44692950472409343</v>
      </c>
      <c r="X16" s="8" t="str">
        <f>IF(W16&lt;1,"",R16/S16)</f>
        <v/>
      </c>
      <c r="Y16" s="9" t="str">
        <f>IF(W16&lt;1,"",X16*P16)</f>
        <v/>
      </c>
      <c r="Z16" s="11">
        <f>O16-$U$10</f>
        <v>-12.37489334290736</v>
      </c>
      <c r="AA16" s="6" t="str">
        <f>IF(W16&lt;1,"",V16*O16/60*6080)</f>
        <v/>
      </c>
      <c r="AB16" s="8" t="str">
        <f t="shared" ref="AB16:AB68" si="0">IF(W16&lt;1,"",W16^2)</f>
        <v/>
      </c>
      <c r="AC16" s="9" t="str">
        <f t="shared" ref="AC16:AC68" si="1">IF(W16&lt;1,"",(U16-(Q16*$P$13*($P$11+$P$8^2/(PI()*$P$12))))/$P$10)</f>
        <v/>
      </c>
      <c r="AD16" s="11" t="str">
        <f t="shared" ref="AD16:AD68" si="2">IF(W16&lt;1,"",AC16*O16*6080/60)</f>
        <v/>
      </c>
    </row>
    <row r="17" spans="1:30" x14ac:dyDescent="0.25">
      <c r="G17" t="s">
        <v>146</v>
      </c>
      <c r="I17" s="1"/>
      <c r="J17" s="36">
        <f ca="1">NENG+HEADWIND+RAND()</f>
        <v>17.180954836665414</v>
      </c>
      <c r="O17" s="6">
        <v>20</v>
      </c>
      <c r="P17" s="7">
        <f>O17/661</f>
        <v>3.0257186081694403E-2</v>
      </c>
      <c r="Q17" s="8">
        <f>1481*P17^2</f>
        <v>1.3558515154913588</v>
      </c>
      <c r="R17" s="9" t="str">
        <f t="shared" ref="R17:R68" si="3">IF(W17&lt;1,"",$P$10/Q17/$P$13)</f>
        <v/>
      </c>
      <c r="S17" s="9" t="str">
        <f t="shared" ref="S17:S68" si="4">IF(W17&lt;1,"",R17^2/(PI()*$P$12)+$P$11)</f>
        <v/>
      </c>
      <c r="T17" s="8" t="str">
        <f t="shared" ref="T17:T68" si="5">IF(S17="","",Q17*S17*$P$13)</f>
        <v/>
      </c>
      <c r="U17" s="8">
        <f t="shared" ref="U17:U68" si="6">$P$9*($G$28*O17^2+$G$29*O17+$G$30)</f>
        <v>2.4234</v>
      </c>
      <c r="V17" s="8" t="str">
        <f t="shared" ref="V17:V68" si="7">IF(S17="","",(U17-T17)/$P$10)</f>
        <v/>
      </c>
      <c r="W17" s="10">
        <f t="shared" ref="W17:W68" si="8">P17/$U$9</f>
        <v>0.89385900944818686</v>
      </c>
      <c r="X17" s="8" t="str">
        <f t="shared" ref="X17:X68" si="9">IF(W17&lt;1,"",R17/S17)</f>
        <v/>
      </c>
      <c r="Y17" s="9" t="str">
        <f t="shared" ref="Y17:Y68" si="10">IF(W17&lt;1,"",X17*P17)</f>
        <v/>
      </c>
      <c r="Z17" s="11">
        <f t="shared" ref="Z17:Z68" si="11">O17-$U$10</f>
        <v>-2.3748933429073595</v>
      </c>
      <c r="AA17" s="6" t="str">
        <f t="shared" ref="AA17:AA68" si="12">IF(W17&lt;1,"",V17*O17/60*6080)</f>
        <v/>
      </c>
      <c r="AB17" s="8" t="str">
        <f t="shared" si="0"/>
        <v/>
      </c>
      <c r="AC17" s="9" t="str">
        <f t="shared" si="1"/>
        <v/>
      </c>
      <c r="AD17" s="11" t="str">
        <f t="shared" si="2"/>
        <v/>
      </c>
    </row>
    <row r="18" spans="1:30" ht="14.45" x14ac:dyDescent="0.3">
      <c r="A18" s="1" t="s">
        <v>42</v>
      </c>
      <c r="B18" s="1">
        <v>0.05</v>
      </c>
      <c r="C18" s="1" t="s">
        <v>57</v>
      </c>
      <c r="I18" s="1"/>
      <c r="J18" s="1"/>
      <c r="O18" s="6">
        <f>O17+1</f>
        <v>21</v>
      </c>
      <c r="P18" s="7">
        <f t="shared" ref="P18:P68" si="13">O18/661</f>
        <v>3.1770045385779121E-2</v>
      </c>
      <c r="Q18" s="8">
        <f t="shared" ref="Q18:Q68" si="14">1481*P18^2</f>
        <v>1.4948262958292231</v>
      </c>
      <c r="R18" s="9" t="str">
        <f t="shared" si="3"/>
        <v/>
      </c>
      <c r="S18" s="9" t="str">
        <f t="shared" si="4"/>
        <v/>
      </c>
      <c r="T18" s="8" t="str">
        <f t="shared" si="5"/>
        <v/>
      </c>
      <c r="U18" s="8">
        <f t="shared" si="6"/>
        <v>2.4028</v>
      </c>
      <c r="V18" s="8" t="str">
        <f t="shared" si="7"/>
        <v/>
      </c>
      <c r="W18" s="10">
        <f t="shared" si="8"/>
        <v>0.93855195992059604</v>
      </c>
      <c r="X18" s="8" t="str">
        <f t="shared" si="9"/>
        <v/>
      </c>
      <c r="Y18" s="9" t="str">
        <f t="shared" si="10"/>
        <v/>
      </c>
      <c r="Z18" s="11">
        <f t="shared" si="11"/>
        <v>-1.3748933429073595</v>
      </c>
      <c r="AA18" s="6" t="str">
        <f t="shared" si="12"/>
        <v/>
      </c>
      <c r="AB18" s="8" t="str">
        <f t="shared" si="0"/>
        <v/>
      </c>
      <c r="AC18" s="9" t="str">
        <f t="shared" si="1"/>
        <v/>
      </c>
      <c r="AD18" s="11" t="str">
        <f t="shared" si="2"/>
        <v/>
      </c>
    </row>
    <row r="19" spans="1:30" ht="14.45" x14ac:dyDescent="0.3">
      <c r="A19" s="1" t="s">
        <v>44</v>
      </c>
      <c r="B19" s="52">
        <v>72</v>
      </c>
      <c r="C19" s="1" t="s">
        <v>46</v>
      </c>
      <c r="I19" s="1"/>
      <c r="J19" s="1"/>
      <c r="O19" s="6">
        <f t="shared" ref="O19:O68" si="15">O18+1</f>
        <v>22</v>
      </c>
      <c r="P19" s="7">
        <f t="shared" si="13"/>
        <v>3.3282904689863842E-2</v>
      </c>
      <c r="Q19" s="8">
        <f t="shared" si="14"/>
        <v>1.6405803337445439</v>
      </c>
      <c r="R19" s="9" t="str">
        <f t="shared" si="3"/>
        <v/>
      </c>
      <c r="S19" s="9" t="str">
        <f t="shared" si="4"/>
        <v/>
      </c>
      <c r="T19" s="8" t="str">
        <f t="shared" si="5"/>
        <v/>
      </c>
      <c r="U19" s="8">
        <f t="shared" si="6"/>
        <v>2.3817999999999997</v>
      </c>
      <c r="V19" s="8" t="str">
        <f t="shared" si="7"/>
        <v/>
      </c>
      <c r="W19" s="10">
        <f t="shared" si="8"/>
        <v>0.98324491039300543</v>
      </c>
      <c r="X19" s="8" t="str">
        <f t="shared" si="9"/>
        <v/>
      </c>
      <c r="Y19" s="9" t="str">
        <f t="shared" si="10"/>
        <v/>
      </c>
      <c r="Z19" s="11">
        <f t="shared" si="11"/>
        <v>-0.37489334290735954</v>
      </c>
      <c r="AA19" s="6" t="str">
        <f t="shared" si="12"/>
        <v/>
      </c>
      <c r="AB19" s="8" t="str">
        <f t="shared" si="0"/>
        <v/>
      </c>
      <c r="AC19" s="9" t="str">
        <f t="shared" si="1"/>
        <v/>
      </c>
      <c r="AD19" s="11" t="str">
        <f t="shared" si="2"/>
        <v/>
      </c>
    </row>
    <row r="20" spans="1:30" ht="14.45" x14ac:dyDescent="0.3">
      <c r="A20" s="1" t="s">
        <v>45</v>
      </c>
      <c r="B20" s="1">
        <v>19.2</v>
      </c>
      <c r="C20" s="1" t="s">
        <v>47</v>
      </c>
      <c r="I20" s="1"/>
      <c r="J20" s="1"/>
      <c r="O20" s="6">
        <f t="shared" si="15"/>
        <v>23</v>
      </c>
      <c r="P20" s="7">
        <f t="shared" si="13"/>
        <v>3.4795763993948563E-2</v>
      </c>
      <c r="Q20" s="8">
        <f t="shared" si="14"/>
        <v>1.7931136292373222</v>
      </c>
      <c r="R20" s="9">
        <f t="shared" si="3"/>
        <v>0.84582853085097642</v>
      </c>
      <c r="S20" s="9">
        <f t="shared" si="4"/>
        <v>8.3431354111679651E-2</v>
      </c>
      <c r="T20" s="8">
        <f t="shared" si="5"/>
        <v>0.89761138898026838</v>
      </c>
      <c r="U20" s="8">
        <f t="shared" si="6"/>
        <v>2.3603999999999998</v>
      </c>
      <c r="V20" s="8">
        <f t="shared" si="7"/>
        <v>0.1607460012109595</v>
      </c>
      <c r="W20" s="10">
        <f t="shared" si="8"/>
        <v>1.0279378608654148</v>
      </c>
      <c r="X20" s="8">
        <f t="shared" si="9"/>
        <v>10.138017533777123</v>
      </c>
      <c r="Y20" s="9">
        <f t="shared" si="10"/>
        <v>0.35276006547182126</v>
      </c>
      <c r="Z20" s="11">
        <f t="shared" si="11"/>
        <v>0.62510665709264046</v>
      </c>
      <c r="AA20" s="6">
        <f t="shared" si="12"/>
        <v>374.64534682234296</v>
      </c>
      <c r="AB20" s="8">
        <f t="shared" si="0"/>
        <v>1.0566562458005648</v>
      </c>
      <c r="AC20" s="9">
        <f t="shared" si="1"/>
        <v>0.15447160476935462</v>
      </c>
      <c r="AD20" s="11">
        <f t="shared" si="2"/>
        <v>360.02182018244253</v>
      </c>
    </row>
    <row r="21" spans="1:30" ht="14.45" x14ac:dyDescent="0.3">
      <c r="A21" s="1" t="s">
        <v>43</v>
      </c>
      <c r="B21" s="1">
        <f>B19*B18</f>
        <v>3.6</v>
      </c>
      <c r="C21" s="1" t="s">
        <v>58</v>
      </c>
      <c r="I21" s="1"/>
      <c r="J21" s="1"/>
      <c r="O21" s="6">
        <f t="shared" si="15"/>
        <v>24</v>
      </c>
      <c r="P21" s="7">
        <f t="shared" si="13"/>
        <v>3.6308623298033284E-2</v>
      </c>
      <c r="Q21" s="8">
        <f t="shared" si="14"/>
        <v>1.9524261823075566</v>
      </c>
      <c r="R21" s="9">
        <f t="shared" si="3"/>
        <v>0.77681127225723356</v>
      </c>
      <c r="S21" s="9">
        <f t="shared" si="4"/>
        <v>7.6301839674621633E-2</v>
      </c>
      <c r="T21" s="8">
        <f t="shared" si="5"/>
        <v>0.89384225723378863</v>
      </c>
      <c r="U21" s="8">
        <f t="shared" si="6"/>
        <v>2.3386</v>
      </c>
      <c r="V21" s="8">
        <f t="shared" si="7"/>
        <v>0.15876458711716607</v>
      </c>
      <c r="W21" s="10">
        <f t="shared" si="8"/>
        <v>1.0726308113378242</v>
      </c>
      <c r="X21" s="8">
        <f t="shared" si="9"/>
        <v>10.180767273368964</v>
      </c>
      <c r="Y21" s="9">
        <f t="shared" si="10"/>
        <v>0.36964964381369919</v>
      </c>
      <c r="Z21" s="11">
        <f t="shared" si="11"/>
        <v>1.6251066570926405</v>
      </c>
      <c r="AA21" s="11">
        <f t="shared" si="12"/>
        <v>386.11547586894784</v>
      </c>
      <c r="AB21" s="8">
        <f t="shared" si="0"/>
        <v>1.1505368574312391</v>
      </c>
      <c r="AC21" s="9">
        <f t="shared" si="1"/>
        <v>0.14275480661398229</v>
      </c>
      <c r="AD21" s="11">
        <f t="shared" si="2"/>
        <v>347.17968968520489</v>
      </c>
    </row>
    <row r="22" spans="1:30" ht="14.45" x14ac:dyDescent="0.3">
      <c r="A22" s="1" t="s">
        <v>60</v>
      </c>
      <c r="B22" s="1">
        <f>B19*B20</f>
        <v>1382.3999999999999</v>
      </c>
      <c r="C22" s="1" t="s">
        <v>48</v>
      </c>
      <c r="I22" s="1"/>
      <c r="J22" s="1"/>
      <c r="O22" s="6">
        <f t="shared" si="15"/>
        <v>25</v>
      </c>
      <c r="P22" s="7">
        <f t="shared" si="13"/>
        <v>3.7821482602118005E-2</v>
      </c>
      <c r="Q22" s="8">
        <f t="shared" si="14"/>
        <v>2.1185179929552485</v>
      </c>
      <c r="R22" s="9">
        <f t="shared" si="3"/>
        <v>0.71590926851226644</v>
      </c>
      <c r="S22" s="9">
        <f t="shared" si="4"/>
        <v>7.0514350207439819E-2</v>
      </c>
      <c r="T22" s="8">
        <f t="shared" si="5"/>
        <v>0.89631551805605358</v>
      </c>
      <c r="U22" s="8">
        <f t="shared" si="6"/>
        <v>2.3163999999999998</v>
      </c>
      <c r="V22" s="8">
        <f t="shared" si="7"/>
        <v>0.15605323977406002</v>
      </c>
      <c r="W22" s="10">
        <f t="shared" si="8"/>
        <v>1.1173237618102336</v>
      </c>
      <c r="X22" s="8">
        <f t="shared" si="9"/>
        <v>10.152674830104758</v>
      </c>
      <c r="Y22" s="9">
        <f t="shared" si="10"/>
        <v>0.38398921445176848</v>
      </c>
      <c r="Z22" s="11">
        <f t="shared" si="11"/>
        <v>2.6251066570926405</v>
      </c>
      <c r="AA22" s="11">
        <f t="shared" si="12"/>
        <v>395.3348740942854</v>
      </c>
      <c r="AB22" s="8">
        <f t="shared" si="0"/>
        <v>1.2484123887057716</v>
      </c>
      <c r="AC22" s="9">
        <f t="shared" si="1"/>
        <v>0.130597405871685</v>
      </c>
      <c r="AD22" s="11">
        <f t="shared" si="2"/>
        <v>330.84676154160201</v>
      </c>
    </row>
    <row r="23" spans="1:30" ht="14.45" x14ac:dyDescent="0.3">
      <c r="A23" s="1" t="s">
        <v>59</v>
      </c>
      <c r="B23" s="1">
        <f>B22/3</f>
        <v>460.79999999999995</v>
      </c>
      <c r="C23" s="1" t="s">
        <v>48</v>
      </c>
      <c r="I23" s="1"/>
      <c r="J23" s="1"/>
      <c r="O23" s="6">
        <f t="shared" si="15"/>
        <v>26</v>
      </c>
      <c r="P23" s="7">
        <f t="shared" si="13"/>
        <v>3.9334341906202726E-2</v>
      </c>
      <c r="Q23" s="8">
        <f t="shared" si="14"/>
        <v>2.2913890611803964</v>
      </c>
      <c r="R23" s="9">
        <f t="shared" si="3"/>
        <v>0.66189836216000975</v>
      </c>
      <c r="S23" s="9">
        <f t="shared" si="4"/>
        <v>6.5776839835009357E-2</v>
      </c>
      <c r="T23" s="8">
        <f t="shared" si="5"/>
        <v>0.90432198766173233</v>
      </c>
      <c r="U23" s="8">
        <f t="shared" si="6"/>
        <v>2.2938000000000001</v>
      </c>
      <c r="V23" s="8">
        <f t="shared" si="7"/>
        <v>0.15268989146574372</v>
      </c>
      <c r="W23" s="10">
        <f t="shared" si="8"/>
        <v>1.162016712282643</v>
      </c>
      <c r="X23" s="8">
        <f t="shared" si="9"/>
        <v>10.062787507278786</v>
      </c>
      <c r="Y23" s="9">
        <f t="shared" si="10"/>
        <v>0.39581312434076921</v>
      </c>
      <c r="Z23" s="11">
        <f t="shared" si="11"/>
        <v>3.6251066570926405</v>
      </c>
      <c r="AA23" s="11">
        <f t="shared" si="12"/>
        <v>402.28696738174608</v>
      </c>
      <c r="AB23" s="8">
        <f t="shared" si="0"/>
        <v>1.3502828396241628</v>
      </c>
      <c r="AC23" s="9">
        <f t="shared" si="1"/>
        <v>0.1179994025424629</v>
      </c>
      <c r="AD23" s="11">
        <f t="shared" si="2"/>
        <v>310.8890925652089</v>
      </c>
    </row>
    <row r="24" spans="1:30" ht="14.45" x14ac:dyDescent="0.3">
      <c r="A24" s="1" t="s">
        <v>61</v>
      </c>
      <c r="B24" s="1">
        <f>A7*2</f>
        <v>460</v>
      </c>
      <c r="C24" s="1" t="s">
        <v>48</v>
      </c>
      <c r="I24" s="1"/>
      <c r="J24" s="1"/>
      <c r="O24" s="6">
        <f t="shared" si="15"/>
        <v>27</v>
      </c>
      <c r="P24" s="7">
        <f t="shared" si="13"/>
        <v>4.084720121028744E-2</v>
      </c>
      <c r="Q24" s="8">
        <f t="shared" si="14"/>
        <v>2.471039386983001</v>
      </c>
      <c r="R24" s="9">
        <f t="shared" si="3"/>
        <v>0.61377680770941923</v>
      </c>
      <c r="S24" s="9">
        <f t="shared" si="4"/>
        <v>6.1868791980492464E-2</v>
      </c>
      <c r="T24" s="8">
        <f t="shared" si="5"/>
        <v>0.91728133085312946</v>
      </c>
      <c r="U24" s="8">
        <f t="shared" si="6"/>
        <v>2.2707999999999999</v>
      </c>
      <c r="V24" s="8">
        <f t="shared" si="7"/>
        <v>0.1487383152908649</v>
      </c>
      <c r="W24" s="10">
        <f t="shared" si="8"/>
        <v>1.206709662755052</v>
      </c>
      <c r="X24" s="8">
        <f t="shared" si="9"/>
        <v>9.9206205271139947</v>
      </c>
      <c r="Y24" s="9">
        <f t="shared" si="10"/>
        <v>0.40522958280193316</v>
      </c>
      <c r="Z24" s="11">
        <f t="shared" si="11"/>
        <v>4.6251066570926405</v>
      </c>
      <c r="AA24" s="11">
        <f t="shared" si="12"/>
        <v>406.94803063580639</v>
      </c>
      <c r="AB24" s="8">
        <f t="shared" si="0"/>
        <v>1.4561482101864114</v>
      </c>
      <c r="AC24" s="9">
        <f t="shared" si="1"/>
        <v>0.10496079662631588</v>
      </c>
      <c r="AD24" s="11">
        <f t="shared" si="2"/>
        <v>287.1727395696002</v>
      </c>
    </row>
    <row r="25" spans="1:30" ht="14.45" x14ac:dyDescent="0.3">
      <c r="I25" s="1"/>
      <c r="J25" s="1"/>
      <c r="O25" s="6">
        <f t="shared" si="15"/>
        <v>28</v>
      </c>
      <c r="P25" s="7">
        <f t="shared" si="13"/>
        <v>4.2360060514372161E-2</v>
      </c>
      <c r="Q25" s="8">
        <f t="shared" si="14"/>
        <v>2.657468970363063</v>
      </c>
      <c r="R25" s="9">
        <f t="shared" si="3"/>
        <v>0.57071848574000839</v>
      </c>
      <c r="S25" s="9">
        <f t="shared" si="4"/>
        <v>5.8621879643953961E-2</v>
      </c>
      <c r="T25" s="8">
        <f t="shared" si="5"/>
        <v>0.93471495682899453</v>
      </c>
      <c r="U25" s="8">
        <f t="shared" si="6"/>
        <v>2.2473999999999998</v>
      </c>
      <c r="V25" s="8">
        <f t="shared" si="7"/>
        <v>0.14425110364516541</v>
      </c>
      <c r="W25" s="10">
        <f t="shared" si="8"/>
        <v>1.2514026132274614</v>
      </c>
      <c r="X25" s="8">
        <f t="shared" si="9"/>
        <v>9.7355883026324985</v>
      </c>
      <c r="Y25" s="9">
        <f t="shared" si="10"/>
        <v>0.41240010964252638</v>
      </c>
      <c r="Z25" s="11">
        <f t="shared" si="11"/>
        <v>5.6251066570926405</v>
      </c>
      <c r="AA25" s="11">
        <f>IF(W25&lt;1,"",V25*O25/60*6080)</f>
        <v>409.28846474254931</v>
      </c>
      <c r="AB25" s="8">
        <f t="shared" si="0"/>
        <v>1.5660085003925193</v>
      </c>
      <c r="AC25" s="9">
        <f t="shared" si="1"/>
        <v>9.1481588123243904E-2</v>
      </c>
      <c r="AD25" s="11">
        <f t="shared" si="2"/>
        <v>259.5637593683507</v>
      </c>
    </row>
    <row r="26" spans="1:30" ht="14.45" x14ac:dyDescent="0.3">
      <c r="I26" s="1"/>
      <c r="J26" s="1"/>
      <c r="O26" s="6">
        <f t="shared" si="15"/>
        <v>29</v>
      </c>
      <c r="P26" s="7">
        <f t="shared" si="13"/>
        <v>4.3872919818456882E-2</v>
      </c>
      <c r="Q26" s="8">
        <f t="shared" si="14"/>
        <v>2.850677811320582</v>
      </c>
      <c r="R26" s="9">
        <f t="shared" si="3"/>
        <v>0.53203720906084018</v>
      </c>
      <c r="S26" s="9">
        <f t="shared" si="4"/>
        <v>5.5906314461346439E-2</v>
      </c>
      <c r="T26" s="8">
        <f t="shared" si="5"/>
        <v>0.95622534088602773</v>
      </c>
      <c r="U26" s="8">
        <f t="shared" si="6"/>
        <v>2.2235999999999998</v>
      </c>
      <c r="V26" s="8">
        <f t="shared" si="7"/>
        <v>0.13927194056197495</v>
      </c>
      <c r="W26" s="10">
        <f t="shared" si="8"/>
        <v>1.2960955636998708</v>
      </c>
      <c r="X26" s="8">
        <f t="shared" si="9"/>
        <v>9.5165852764036174</v>
      </c>
      <c r="Y26" s="9">
        <f t="shared" si="10"/>
        <v>0.41752038277716325</v>
      </c>
      <c r="Z26" s="11">
        <f t="shared" si="11"/>
        <v>6.6251066570926405</v>
      </c>
      <c r="AA26" s="11">
        <f t="shared" si="12"/>
        <v>409.27380933145713</v>
      </c>
      <c r="AB26" s="8">
        <f t="shared" si="0"/>
        <v>1.6798637102424858</v>
      </c>
      <c r="AC26" s="9">
        <f t="shared" si="1"/>
        <v>7.7561777033247056E-2</v>
      </c>
      <c r="AD26" s="11">
        <f t="shared" si="2"/>
        <v>227.92820877503536</v>
      </c>
    </row>
    <row r="27" spans="1:30" thickBot="1" x14ac:dyDescent="0.35">
      <c r="I27" s="1"/>
      <c r="J27" s="1"/>
      <c r="O27" s="6">
        <f t="shared" si="15"/>
        <v>30</v>
      </c>
      <c r="P27" s="7">
        <f t="shared" si="13"/>
        <v>4.5385779122541603E-2</v>
      </c>
      <c r="Q27" s="8">
        <f t="shared" si="14"/>
        <v>3.0506659098555571</v>
      </c>
      <c r="R27" s="9">
        <f t="shared" si="3"/>
        <v>0.49715921424462955</v>
      </c>
      <c r="S27" s="9">
        <f t="shared" si="4"/>
        <v>5.3621084549321199E-2</v>
      </c>
      <c r="T27" s="8">
        <f t="shared" si="5"/>
        <v>0.98148008810458032</v>
      </c>
      <c r="U27" s="8">
        <f t="shared" si="6"/>
        <v>2.1993999999999998</v>
      </c>
      <c r="V27" s="8">
        <f t="shared" si="7"/>
        <v>0.13383735295554058</v>
      </c>
      <c r="W27" s="10">
        <f t="shared" si="8"/>
        <v>1.3407885141722802</v>
      </c>
      <c r="X27" s="8">
        <f t="shared" si="9"/>
        <v>9.2717112759503699</v>
      </c>
      <c r="Y27" s="9">
        <f t="shared" si="10"/>
        <v>0.42080384005826188</v>
      </c>
      <c r="Z27" s="11">
        <f t="shared" si="11"/>
        <v>7.6251066570926405</v>
      </c>
      <c r="AA27" s="11">
        <f t="shared" si="12"/>
        <v>406.86555298484336</v>
      </c>
      <c r="AB27" s="8">
        <f t="shared" si="0"/>
        <v>1.7977138397363108</v>
      </c>
      <c r="AC27" s="9">
        <f t="shared" si="1"/>
        <v>6.3201363356325355E-2</v>
      </c>
      <c r="AD27" s="11">
        <f t="shared" si="2"/>
        <v>192.13214460322908</v>
      </c>
    </row>
    <row r="28" spans="1:30" ht="15.6" thickTop="1" thickBot="1" x14ac:dyDescent="0.35">
      <c r="A28" s="1" t="s">
        <v>63</v>
      </c>
      <c r="F28" s="30" t="s">
        <v>39</v>
      </c>
      <c r="G28" s="31">
        <v>-1E-4</v>
      </c>
      <c r="H28" t="s">
        <v>51</v>
      </c>
      <c r="I28" s="1"/>
      <c r="J28" s="1"/>
      <c r="O28" s="6">
        <f t="shared" si="15"/>
        <v>31</v>
      </c>
      <c r="P28" s="7">
        <f t="shared" si="13"/>
        <v>4.6898638426626324E-2</v>
      </c>
      <c r="Q28" s="8">
        <f t="shared" si="14"/>
        <v>3.2574332659679892</v>
      </c>
      <c r="R28" s="9">
        <f t="shared" si="3"/>
        <v>0.46560176151942412</v>
      </c>
      <c r="S28" s="9">
        <f t="shared" si="4"/>
        <v>5.1686888278290967E-2</v>
      </c>
      <c r="T28" s="8">
        <f t="shared" si="5"/>
        <v>1.0101995357524556</v>
      </c>
      <c r="U28" s="8">
        <f t="shared" si="6"/>
        <v>2.1747999999999998</v>
      </c>
      <c r="V28" s="8">
        <f t="shared" si="7"/>
        <v>0.12797807299423564</v>
      </c>
      <c r="W28" s="10">
        <f t="shared" si="8"/>
        <v>1.3854814646446896</v>
      </c>
      <c r="X28" s="8">
        <f t="shared" si="9"/>
        <v>9.0081213442864918</v>
      </c>
      <c r="Y28" s="9">
        <f t="shared" si="10"/>
        <v>0.42246862582886724</v>
      </c>
      <c r="Z28" s="11">
        <f t="shared" si="11"/>
        <v>8.6251066570926405</v>
      </c>
      <c r="AA28" s="11">
        <f t="shared" si="12"/>
        <v>402.02178663255887</v>
      </c>
      <c r="AB28" s="8">
        <f t="shared" si="0"/>
        <v>1.9195588888739943</v>
      </c>
      <c r="AC28" s="9">
        <f t="shared" si="1"/>
        <v>4.8400347092478757E-2</v>
      </c>
      <c r="AD28" s="11">
        <f t="shared" si="2"/>
        <v>152.04162366650658</v>
      </c>
    </row>
    <row r="29" spans="1:30" ht="15.6" thickTop="1" thickBot="1" x14ac:dyDescent="0.35">
      <c r="A29" s="1" t="s">
        <v>105</v>
      </c>
      <c r="B29" s="53">
        <v>2.5</v>
      </c>
      <c r="C29" s="1" t="s">
        <v>64</v>
      </c>
      <c r="F29" s="30" t="s">
        <v>40</v>
      </c>
      <c r="G29" s="30">
        <v>-6.1999999999999998E-3</v>
      </c>
      <c r="H29" t="s">
        <v>52</v>
      </c>
      <c r="I29" s="1"/>
      <c r="J29" s="1"/>
      <c r="O29" s="6">
        <f t="shared" si="15"/>
        <v>32</v>
      </c>
      <c r="P29" s="7">
        <f t="shared" si="13"/>
        <v>4.8411497730711045E-2</v>
      </c>
      <c r="Q29" s="8">
        <f t="shared" si="14"/>
        <v>3.4709798796578788</v>
      </c>
      <c r="R29" s="9">
        <f t="shared" si="3"/>
        <v>0.43695634064469385</v>
      </c>
      <c r="S29" s="9">
        <f t="shared" si="4"/>
        <v>5.0040961542955231E-2</v>
      </c>
      <c r="T29" s="8">
        <f t="shared" si="5"/>
        <v>1.0421470240459878</v>
      </c>
      <c r="U29" s="8">
        <f t="shared" si="6"/>
        <v>2.1497999999999999</v>
      </c>
      <c r="V29" s="8">
        <f t="shared" si="7"/>
        <v>0.12172010724769365</v>
      </c>
      <c r="W29" s="10">
        <f t="shared" si="8"/>
        <v>1.430174415117099</v>
      </c>
      <c r="X29" s="8">
        <f t="shared" si="9"/>
        <v>8.7319733108967128</v>
      </c>
      <c r="Y29" s="9">
        <f t="shared" si="10"/>
        <v>0.42272790612510563</v>
      </c>
      <c r="Z29" s="11">
        <f t="shared" si="11"/>
        <v>9.6251066570926405</v>
      </c>
      <c r="AA29" s="11">
        <f t="shared" si="12"/>
        <v>394.69773443518795</v>
      </c>
      <c r="AB29" s="8">
        <f t="shared" si="0"/>
        <v>2.045398857655536</v>
      </c>
      <c r="AC29" s="9">
        <f t="shared" si="1"/>
        <v>3.3158728241707229E-2</v>
      </c>
      <c r="AD29" s="11">
        <f t="shared" si="2"/>
        <v>107.52270277844264</v>
      </c>
    </row>
    <row r="30" spans="1:30" ht="16.5" thickTop="1" thickBot="1" x14ac:dyDescent="0.3">
      <c r="A30" s="1" t="s">
        <v>43</v>
      </c>
      <c r="B30" s="1">
        <f>B21</f>
        <v>3.6</v>
      </c>
      <c r="C30" s="1" t="s">
        <v>64</v>
      </c>
      <c r="F30" s="30" t="s">
        <v>41</v>
      </c>
      <c r="G30" s="30">
        <v>1.3756999999999999</v>
      </c>
      <c r="I30" s="1"/>
      <c r="J30" s="1"/>
      <c r="O30" s="6">
        <f t="shared" si="15"/>
        <v>33</v>
      </c>
      <c r="P30" s="7">
        <f t="shared" si="13"/>
        <v>4.9924357034795766E-2</v>
      </c>
      <c r="Q30" s="8">
        <f t="shared" si="14"/>
        <v>3.6913057509252245</v>
      </c>
      <c r="R30" s="9">
        <f t="shared" si="3"/>
        <v>0.4108753836732475</v>
      </c>
      <c r="S30" s="9">
        <f t="shared" si="4"/>
        <v>4.8633251176960039E-2</v>
      </c>
      <c r="T30" s="8">
        <f>IF(S30="","",Q30*S30*$P$13)</f>
        <v>1.0771211985342213</v>
      </c>
      <c r="U30" s="8">
        <f t="shared" si="6"/>
        <v>2.1243999999999996</v>
      </c>
      <c r="V30" s="8">
        <f t="shared" si="7"/>
        <v>0.11508558257865696</v>
      </c>
      <c r="W30" s="10">
        <f t="shared" si="8"/>
        <v>1.4748673655895084</v>
      </c>
      <c r="X30" s="8">
        <f t="shared" si="9"/>
        <v>8.4484457388672247</v>
      </c>
      <c r="Y30" s="9">
        <f t="shared" si="10"/>
        <v>0.42178322145630626</v>
      </c>
      <c r="Z30" s="11">
        <f t="shared" si="11"/>
        <v>10.62510665709264</v>
      </c>
      <c r="AA30" s="11">
        <f t="shared" si="12"/>
        <v>384.84618814302888</v>
      </c>
      <c r="AB30" s="8">
        <f t="shared" si="0"/>
        <v>2.1752337460809366</v>
      </c>
      <c r="AC30" s="9">
        <f t="shared" si="1"/>
        <v>1.7476506804010777E-2</v>
      </c>
      <c r="AD30" s="11">
        <f t="shared" si="2"/>
        <v>58.441438752612044</v>
      </c>
    </row>
    <row r="31" spans="1:30" ht="15.75" thickTop="1" x14ac:dyDescent="0.25">
      <c r="A31" s="1" t="s">
        <v>68</v>
      </c>
      <c r="B31" s="1">
        <f>'Aircraft Dimensions'!C2</f>
        <v>12</v>
      </c>
      <c r="I31" s="1"/>
      <c r="J31" s="1"/>
      <c r="O31" s="6">
        <f t="shared" si="15"/>
        <v>34</v>
      </c>
      <c r="P31" s="7">
        <f t="shared" si="13"/>
        <v>5.1437216338880487E-2</v>
      </c>
      <c r="Q31" s="8">
        <f t="shared" si="14"/>
        <v>3.9184108797700272</v>
      </c>
      <c r="R31" s="9">
        <f t="shared" si="3"/>
        <v>0.38706167198976343</v>
      </c>
      <c r="S31" s="9">
        <f t="shared" si="4"/>
        <v>4.7423556281384428E-2</v>
      </c>
      <c r="T31" s="8">
        <f t="shared" si="5"/>
        <v>1.1149498733421777</v>
      </c>
      <c r="U31" s="8">
        <f t="shared" si="6"/>
        <v>2.0985999999999998</v>
      </c>
      <c r="V31" s="8">
        <f t="shared" si="7"/>
        <v>0.10809342051184859</v>
      </c>
      <c r="W31" s="10">
        <f t="shared" si="8"/>
        <v>1.5195603160619175</v>
      </c>
      <c r="X31" s="8">
        <f t="shared" si="9"/>
        <v>8.1618019047993666</v>
      </c>
      <c r="Y31" s="9">
        <f t="shared" si="10"/>
        <v>0.41982037029225189</v>
      </c>
      <c r="Z31" s="11">
        <f t="shared" si="11"/>
        <v>11.62510665709264</v>
      </c>
      <c r="AA31" s="11">
        <f t="shared" si="12"/>
        <v>372.41786480348901</v>
      </c>
      <c r="AB31" s="8">
        <f t="shared" si="0"/>
        <v>2.3090635541501947</v>
      </c>
      <c r="AC31" s="9">
        <f t="shared" si="1"/>
        <v>1.3536827793895164E-3</v>
      </c>
      <c r="AD31" s="11">
        <f t="shared" si="2"/>
        <v>4.6638884025900138</v>
      </c>
    </row>
    <row r="32" spans="1:30" x14ac:dyDescent="0.25">
      <c r="A32" s="1" t="s">
        <v>70</v>
      </c>
      <c r="B32" s="1">
        <f>'Aircraft Dimensions'!P2</f>
        <v>2</v>
      </c>
      <c r="C32" s="1" t="s">
        <v>69</v>
      </c>
      <c r="I32" s="1"/>
      <c r="J32" s="1"/>
      <c r="O32" s="6">
        <f t="shared" si="15"/>
        <v>35</v>
      </c>
      <c r="P32" s="7">
        <f t="shared" si="13"/>
        <v>5.2950075642965201E-2</v>
      </c>
      <c r="Q32" s="8">
        <f t="shared" si="14"/>
        <v>4.1522952661922865</v>
      </c>
      <c r="R32" s="9">
        <f t="shared" si="3"/>
        <v>0.36525983087360531</v>
      </c>
      <c r="S32" s="9">
        <f t="shared" si="4"/>
        <v>4.6379372920759721E-2</v>
      </c>
      <c r="T32" s="8">
        <f t="shared" si="5"/>
        <v>1.155485103767024</v>
      </c>
      <c r="U32" s="8">
        <f t="shared" si="6"/>
        <v>2.0724</v>
      </c>
      <c r="V32" s="8">
        <f t="shared" si="7"/>
        <v>0.10075987870692045</v>
      </c>
      <c r="W32" s="10">
        <f t="shared" si="8"/>
        <v>1.5642532665343267</v>
      </c>
      <c r="X32" s="8">
        <f t="shared" si="9"/>
        <v>7.8754801514384543</v>
      </c>
      <c r="Y32" s="9">
        <f t="shared" si="10"/>
        <v>0.41700726974333718</v>
      </c>
      <c r="Z32" s="11">
        <f t="shared" si="11"/>
        <v>12.62510665709264</v>
      </c>
      <c r="AA32" s="11">
        <f t="shared" si="12"/>
        <v>357.36170314721119</v>
      </c>
      <c r="AB32" s="8">
        <f t="shared" si="0"/>
        <v>2.4468882818633113</v>
      </c>
      <c r="AC32" s="9">
        <f t="shared" si="1"/>
        <v>-1.5209743832156683E-2</v>
      </c>
      <c r="AD32" s="11">
        <f t="shared" si="2"/>
        <v>-53.943891458049038</v>
      </c>
    </row>
    <row r="33" spans="1:30" x14ac:dyDescent="0.25">
      <c r="A33" s="1" t="s">
        <v>71</v>
      </c>
      <c r="B33" s="1">
        <f>'Aircraft Dimensions'!F2</f>
        <v>3</v>
      </c>
      <c r="I33" s="1"/>
      <c r="J33" s="1"/>
      <c r="O33" s="6">
        <f t="shared" si="15"/>
        <v>36</v>
      </c>
      <c r="P33" s="7">
        <f t="shared" si="13"/>
        <v>5.4462934947049922E-2</v>
      </c>
      <c r="Q33" s="8">
        <f t="shared" si="14"/>
        <v>4.3929589101920019</v>
      </c>
      <c r="R33" s="9">
        <f t="shared" si="3"/>
        <v>0.3452494543365483</v>
      </c>
      <c r="S33" s="9">
        <f t="shared" si="4"/>
        <v>4.5474255045984673E-2</v>
      </c>
      <c r="T33" s="8">
        <f t="shared" si="5"/>
        <v>1.1985992033316117</v>
      </c>
      <c r="U33" s="8">
        <f t="shared" si="6"/>
        <v>2.0457999999999998</v>
      </c>
      <c r="V33" s="8">
        <f t="shared" si="7"/>
        <v>9.3098988644877811E-2</v>
      </c>
      <c r="W33" s="10">
        <f t="shared" si="8"/>
        <v>1.6089462170067361</v>
      </c>
      <c r="X33" s="8">
        <f t="shared" si="9"/>
        <v>7.5921959356436659</v>
      </c>
      <c r="Y33" s="9">
        <f t="shared" si="10"/>
        <v>0.41349327334821778</v>
      </c>
      <c r="Z33" s="11">
        <f t="shared" si="11"/>
        <v>13.62510665709264</v>
      </c>
      <c r="AA33" s="11">
        <f t="shared" si="12"/>
        <v>339.62511057651426</v>
      </c>
      <c r="AB33" s="8">
        <f t="shared" si="0"/>
        <v>2.5887079292202873</v>
      </c>
      <c r="AC33" s="9">
        <f t="shared" si="1"/>
        <v>-3.2213773030627724E-2</v>
      </c>
      <c r="AD33" s="11">
        <f t="shared" si="2"/>
        <v>-117.51584401572994</v>
      </c>
    </row>
    <row r="34" spans="1:30" x14ac:dyDescent="0.25">
      <c r="A34" s="1" t="s">
        <v>72</v>
      </c>
      <c r="B34" s="1">
        <f>'Aircraft Dimensions'!P3</f>
        <v>8</v>
      </c>
      <c r="C34" s="1" t="s">
        <v>69</v>
      </c>
      <c r="I34" s="1"/>
      <c r="J34" s="1"/>
      <c r="O34" s="6">
        <f t="shared" si="15"/>
        <v>37</v>
      </c>
      <c r="P34" s="7">
        <f t="shared" si="13"/>
        <v>5.5975794251134643E-2</v>
      </c>
      <c r="Q34" s="8">
        <f t="shared" si="14"/>
        <v>4.6404018117691752</v>
      </c>
      <c r="R34" s="9">
        <f t="shared" si="3"/>
        <v>0.32683951265169214</v>
      </c>
      <c r="S34" s="9">
        <f t="shared" si="4"/>
        <v>4.468655784563947E-2</v>
      </c>
      <c r="T34" s="8">
        <f t="shared" si="5"/>
        <v>1.2441815039318007</v>
      </c>
      <c r="U34" s="8">
        <f t="shared" si="6"/>
        <v>2.0187999999999997</v>
      </c>
      <c r="V34" s="8">
        <f t="shared" si="7"/>
        <v>8.512291165584604E-2</v>
      </c>
      <c r="W34" s="10">
        <f t="shared" si="8"/>
        <v>1.6536391674791455</v>
      </c>
      <c r="X34" s="8">
        <f t="shared" si="9"/>
        <v>7.3140453955010827</v>
      </c>
      <c r="Y34" s="9">
        <f t="shared" si="10"/>
        <v>0.40940950020202732</v>
      </c>
      <c r="Z34" s="11">
        <f t="shared" si="11"/>
        <v>14.62510665709264</v>
      </c>
      <c r="AA34" s="11">
        <f t="shared" si="12"/>
        <v>319.15417010165208</v>
      </c>
      <c r="AB34" s="8">
        <f t="shared" si="0"/>
        <v>2.7345224962211216</v>
      </c>
      <c r="AC34" s="9">
        <f t="shared" si="1"/>
        <v>-4.9658404816023752E-2</v>
      </c>
      <c r="AD34" s="11">
        <f t="shared" si="2"/>
        <v>-186.18591245687838</v>
      </c>
    </row>
    <row r="35" spans="1:30" x14ac:dyDescent="0.25">
      <c r="I35" s="1"/>
      <c r="J35" s="1"/>
      <c r="O35" s="6">
        <f t="shared" si="15"/>
        <v>38</v>
      </c>
      <c r="P35" s="7">
        <f t="shared" si="13"/>
        <v>5.7488653555219364E-2</v>
      </c>
      <c r="Q35" s="8">
        <f t="shared" si="14"/>
        <v>4.8946239709238055</v>
      </c>
      <c r="R35" s="9">
        <f t="shared" si="3"/>
        <v>0.30986377619125105</v>
      </c>
      <c r="S35" s="9">
        <f t="shared" si="4"/>
        <v>4.3998466904088318E-2</v>
      </c>
      <c r="T35" s="8">
        <f t="shared" si="5"/>
        <v>1.2921357047558906</v>
      </c>
      <c r="U35" s="8">
        <f t="shared" si="6"/>
        <v>1.9913999999999998</v>
      </c>
      <c r="V35" s="8">
        <f t="shared" si="7"/>
        <v>7.6842230246605414E-2</v>
      </c>
      <c r="W35" s="10">
        <f t="shared" si="8"/>
        <v>1.6983321179515549</v>
      </c>
      <c r="X35" s="8">
        <f t="shared" si="9"/>
        <v>7.0426039358761985</v>
      </c>
      <c r="Y35" s="9">
        <f t="shared" si="10"/>
        <v>0.40486981779621112</v>
      </c>
      <c r="Z35" s="11">
        <f t="shared" si="11"/>
        <v>15.62510665709264</v>
      </c>
      <c r="AA35" s="11">
        <f t="shared" si="12"/>
        <v>295.89381460292861</v>
      </c>
      <c r="AB35" s="8">
        <f t="shared" si="0"/>
        <v>2.884331982865814</v>
      </c>
      <c r="AC35" s="9">
        <f t="shared" si="1"/>
        <v>-6.7543639188344592E-2</v>
      </c>
      <c r="AD35" s="11">
        <f t="shared" si="2"/>
        <v>-260.08803996791892</v>
      </c>
    </row>
    <row r="36" spans="1:30" x14ac:dyDescent="0.25">
      <c r="I36" s="1"/>
      <c r="J36" s="1"/>
      <c r="O36" s="6">
        <f t="shared" si="15"/>
        <v>39</v>
      </c>
      <c r="P36" s="7">
        <f t="shared" ref="P36:P42" si="16">O36/661</f>
        <v>5.9001512859304085E-2</v>
      </c>
      <c r="Q36" s="8">
        <f t="shared" ref="Q36:Q42" si="17">1481*P36^2</f>
        <v>5.155625387655892</v>
      </c>
      <c r="R36" s="9">
        <f t="shared" ref="R36:R42" si="18">IF(W36&lt;1,"",$P$10/Q36/$P$13)</f>
        <v>0.2941770498488932</v>
      </c>
      <c r="S36" s="9">
        <f t="shared" ref="S36:S42" si="19">IF(W36&lt;1,"",R36^2/(PI()*$P$12)+$P$11)</f>
        <v>4.339524273198718E-2</v>
      </c>
      <c r="T36" s="8">
        <f t="shared" ref="T36:T42" si="20">IF(S36="","",Q36*S36*$P$13)</f>
        <v>1.3423776907951375</v>
      </c>
      <c r="U36" s="8">
        <f t="shared" ref="U36:U42" si="21">$P$9*($G$28*O36^2+$G$29*O36+$G$30)</f>
        <v>1.9635999999999998</v>
      </c>
      <c r="V36" s="8">
        <f t="shared" ref="V36:V42" si="22">IF(S36="","",(U36-T36)/$P$10)</f>
        <v>6.8266187824710153E-2</v>
      </c>
      <c r="W36" s="10">
        <f t="shared" ref="W36:W42" si="23">P36/$U$9</f>
        <v>1.7430250684239643</v>
      </c>
      <c r="X36" s="8">
        <f t="shared" ref="X36:X42" si="24">IF(W36&lt;1,"",R36/S36)</f>
        <v>6.7790161162539508</v>
      </c>
      <c r="Y36" s="9">
        <f t="shared" ref="Y36:Y42" si="25">IF(W36&lt;1,"",X36*P36)</f>
        <v>0.39997220655658711</v>
      </c>
      <c r="Z36" s="11">
        <f t="shared" ref="Z36:Z42" si="26">O36-$U$10</f>
        <v>16.62510665709264</v>
      </c>
      <c r="AA36" s="11">
        <f t="shared" ref="AA36:AA42" si="27">IF(W36&lt;1,"",V36*O36/60*6080)</f>
        <v>269.78797428325453</v>
      </c>
      <c r="AB36" s="8">
        <f t="shared" ref="AB36:AB42" si="28">IF(W36&lt;1,"",W36^2)</f>
        <v>3.0381363891543653</v>
      </c>
      <c r="AC36" s="9">
        <f t="shared" ref="AC36:AC42" si="29">IF(W36&lt;1,"",(U36-(Q36*$P$13*($P$11+$P$8^2/(PI()*$P$12))))/$P$10)</f>
        <v>-8.5869476147590398E-2</v>
      </c>
      <c r="AD36" s="11">
        <f t="shared" ref="AD36:AD42" si="30">IF(W36&lt;1,"",AC36*O36*6080/60)</f>
        <v>-339.35616973527721</v>
      </c>
    </row>
    <row r="37" spans="1:30" x14ac:dyDescent="0.25">
      <c r="I37" s="1"/>
      <c r="J37" s="1"/>
      <c r="O37" s="6">
        <f t="shared" si="15"/>
        <v>40</v>
      </c>
      <c r="P37" s="7">
        <f t="shared" si="16"/>
        <v>6.0514372163388806E-2</v>
      </c>
      <c r="Q37" s="8">
        <f t="shared" si="17"/>
        <v>5.4234060619654354</v>
      </c>
      <c r="R37" s="9">
        <f t="shared" si="18"/>
        <v>0.27965205801260412</v>
      </c>
      <c r="S37" s="9">
        <f t="shared" si="19"/>
        <v>4.2864628866590641E-2</v>
      </c>
      <c r="T37" s="8">
        <f t="shared" si="20"/>
        <v>1.3948337282337977</v>
      </c>
      <c r="U37" s="8">
        <f t="shared" si="21"/>
        <v>1.9353999999999998</v>
      </c>
      <c r="V37" s="8">
        <f t="shared" si="22"/>
        <v>5.940288700727496E-2</v>
      </c>
      <c r="W37" s="10">
        <f t="shared" si="23"/>
        <v>1.7877180188963737</v>
      </c>
      <c r="X37" s="8">
        <f t="shared" si="24"/>
        <v>6.5240751035772826</v>
      </c>
      <c r="Y37" s="9">
        <f t="shared" si="25"/>
        <v>0.39480030883977507</v>
      </c>
      <c r="Z37" s="11">
        <f t="shared" si="26"/>
        <v>17.62510665709264</v>
      </c>
      <c r="AA37" s="11">
        <f t="shared" si="27"/>
        <v>240.77970200282121</v>
      </c>
      <c r="AB37" s="8">
        <f t="shared" si="28"/>
        <v>3.1959357150867751</v>
      </c>
      <c r="AC37" s="9">
        <f t="shared" si="29"/>
        <v>-0.10463591569376099</v>
      </c>
      <c r="AD37" s="11">
        <f t="shared" si="30"/>
        <v>-424.12424494537782</v>
      </c>
    </row>
    <row r="38" spans="1:30" x14ac:dyDescent="0.25">
      <c r="A38" s="1" t="s">
        <v>65</v>
      </c>
      <c r="B38" s="1">
        <f>B29+B30</f>
        <v>6.1</v>
      </c>
      <c r="C38" s="1" t="s">
        <v>64</v>
      </c>
      <c r="I38" s="1"/>
      <c r="J38" s="1"/>
      <c r="O38" s="6">
        <f t="shared" si="15"/>
        <v>41</v>
      </c>
      <c r="P38" s="7">
        <f t="shared" si="16"/>
        <v>6.2027231467473527E-2</v>
      </c>
      <c r="Q38" s="8">
        <f t="shared" si="17"/>
        <v>5.6979659938524359</v>
      </c>
      <c r="R38" s="9">
        <f t="shared" si="18"/>
        <v>0.26617685474132452</v>
      </c>
      <c r="S38" s="9">
        <f t="shared" si="19"/>
        <v>4.239638512134912E-2</v>
      </c>
      <c r="T38" s="8">
        <f t="shared" si="20"/>
        <v>1.449438964102312</v>
      </c>
      <c r="U38" s="8">
        <f t="shared" si="21"/>
        <v>1.9067999999999998</v>
      </c>
      <c r="V38" s="8">
        <f t="shared" si="22"/>
        <v>5.0259454494251413E-2</v>
      </c>
      <c r="W38" s="10">
        <f t="shared" si="23"/>
        <v>1.8324109693687831</v>
      </c>
      <c r="X38" s="8">
        <f t="shared" si="24"/>
        <v>6.2782912736418304</v>
      </c>
      <c r="Y38" s="9">
        <f t="shared" si="25"/>
        <v>0.38942502605040097</v>
      </c>
      <c r="Z38" s="11">
        <f t="shared" si="26"/>
        <v>18.62510665709264</v>
      </c>
      <c r="AA38" s="11">
        <f t="shared" si="27"/>
        <v>208.81128027211656</v>
      </c>
      <c r="AB38" s="8">
        <f t="shared" si="28"/>
        <v>3.3577299606630433</v>
      </c>
      <c r="AC38" s="9">
        <f t="shared" si="29"/>
        <v>-0.12384295782685663</v>
      </c>
      <c r="AD38" s="11">
        <f t="shared" si="30"/>
        <v>-514.52620878464711</v>
      </c>
    </row>
    <row r="39" spans="1:30" x14ac:dyDescent="0.25">
      <c r="A39" s="1" t="s">
        <v>66</v>
      </c>
      <c r="B39" s="1">
        <f>B38+B31*B32/16</f>
        <v>7.6</v>
      </c>
      <c r="C39" s="1" t="s">
        <v>64</v>
      </c>
      <c r="I39" s="1"/>
      <c r="J39" s="1"/>
      <c r="O39" s="6">
        <f t="shared" si="15"/>
        <v>42</v>
      </c>
      <c r="P39" s="7">
        <f t="shared" si="16"/>
        <v>6.3540090771558241E-2</v>
      </c>
      <c r="Q39" s="8">
        <f t="shared" si="17"/>
        <v>5.9793051833168924</v>
      </c>
      <c r="R39" s="9">
        <f t="shared" si="18"/>
        <v>0.25365266032889261</v>
      </c>
      <c r="S39" s="9">
        <f t="shared" si="19"/>
        <v>4.1981917262149081E-2</v>
      </c>
      <c r="T39" s="8">
        <f t="shared" si="20"/>
        <v>1.5061361729468934</v>
      </c>
      <c r="U39" s="8">
        <f t="shared" si="21"/>
        <v>1.8777999999999999</v>
      </c>
      <c r="V39" s="8">
        <f t="shared" si="22"/>
        <v>4.0842178797044673E-2</v>
      </c>
      <c r="W39" s="10">
        <f t="shared" si="23"/>
        <v>1.8771039198411921</v>
      </c>
      <c r="X39" s="8">
        <f t="shared" si="24"/>
        <v>6.0419503650822062</v>
      </c>
      <c r="Y39" s="9">
        <f t="shared" si="25"/>
        <v>0.38390607463457282</v>
      </c>
      <c r="Z39" s="11">
        <f t="shared" si="26"/>
        <v>19.62510665709264</v>
      </c>
      <c r="AA39" s="11">
        <f t="shared" si="27"/>
        <v>173.82431296022213</v>
      </c>
      <c r="AB39" s="8">
        <f t="shared" si="28"/>
        <v>3.5235191258831686</v>
      </c>
      <c r="AC39" s="9">
        <f t="shared" si="29"/>
        <v>-0.14349060254687704</v>
      </c>
      <c r="AD39" s="11">
        <f t="shared" si="30"/>
        <v>-610.69600443950867</v>
      </c>
    </row>
    <row r="40" spans="1:30" x14ac:dyDescent="0.25">
      <c r="A40" s="1" t="s">
        <v>67</v>
      </c>
      <c r="B40" s="1">
        <f>B31*B32/16+B38+B33*B34/16</f>
        <v>9.1</v>
      </c>
      <c r="C40" s="1" t="s">
        <v>64</v>
      </c>
      <c r="D40" s="80" t="s">
        <v>172</v>
      </c>
      <c r="I40" s="1"/>
      <c r="J40" s="1"/>
      <c r="O40" s="6">
        <f t="shared" si="15"/>
        <v>43</v>
      </c>
      <c r="P40" s="7">
        <f t="shared" si="16"/>
        <v>6.5052950075642962E-2</v>
      </c>
      <c r="Q40" s="8">
        <f t="shared" si="17"/>
        <v>6.267423630358806</v>
      </c>
      <c r="R40" s="9">
        <f t="shared" si="18"/>
        <v>0.24199204587353518</v>
      </c>
      <c r="S40" s="9">
        <f t="shared" si="19"/>
        <v>4.1613981475231487E-2</v>
      </c>
      <c r="T40" s="8">
        <f t="shared" si="20"/>
        <v>1.5648747051070766</v>
      </c>
      <c r="U40" s="8">
        <f t="shared" si="21"/>
        <v>1.8483999999999998</v>
      </c>
      <c r="V40" s="8">
        <f t="shared" si="22"/>
        <v>3.1156625812409147E-2</v>
      </c>
      <c r="W40" s="10">
        <f t="shared" si="23"/>
        <v>1.9217968703136015</v>
      </c>
      <c r="X40" s="8">
        <f t="shared" si="24"/>
        <v>5.8151620511862845</v>
      </c>
      <c r="Y40" s="9">
        <f t="shared" si="25"/>
        <v>0.3782934465975949</v>
      </c>
      <c r="Z40" s="11">
        <f t="shared" si="26"/>
        <v>20.62510665709264</v>
      </c>
      <c r="AA40" s="11">
        <f t="shared" si="27"/>
        <v>135.75980420660414</v>
      </c>
      <c r="AB40" s="8">
        <f t="shared" si="28"/>
        <v>3.6933032107471537</v>
      </c>
      <c r="AC40" s="9">
        <f t="shared" si="29"/>
        <v>-0.1635788498538224</v>
      </c>
      <c r="AD40" s="11">
        <f t="shared" si="30"/>
        <v>-712.76757509638878</v>
      </c>
    </row>
    <row r="41" spans="1:30" x14ac:dyDescent="0.25">
      <c r="D41" s="80"/>
      <c r="I41" s="1"/>
      <c r="J41" s="1"/>
      <c r="O41" s="6">
        <f t="shared" si="15"/>
        <v>44</v>
      </c>
      <c r="P41" s="7">
        <f t="shared" si="16"/>
        <v>6.6565809379727683E-2</v>
      </c>
      <c r="Q41" s="8">
        <f t="shared" si="17"/>
        <v>6.5623213349781757</v>
      </c>
      <c r="R41" s="9">
        <f t="shared" si="18"/>
        <v>0.23111740331620176</v>
      </c>
      <c r="S41" s="9">
        <f t="shared" si="19"/>
        <v>4.1286447213616996E-2</v>
      </c>
      <c r="T41" s="8">
        <f t="shared" si="20"/>
        <v>1.6256096003722145</v>
      </c>
      <c r="U41" s="8">
        <f t="shared" si="21"/>
        <v>1.8185999999999998</v>
      </c>
      <c r="V41" s="8">
        <f t="shared" si="22"/>
        <v>2.1207736222833552E-2</v>
      </c>
      <c r="W41" s="10">
        <f t="shared" si="23"/>
        <v>1.9664898207860109</v>
      </c>
      <c r="X41" s="8">
        <f t="shared" si="24"/>
        <v>5.597900011119755</v>
      </c>
      <c r="Y41" s="9">
        <f t="shared" si="25"/>
        <v>0.37262874506697308</v>
      </c>
      <c r="Z41" s="11">
        <f t="shared" si="26"/>
        <v>21.62510665709264</v>
      </c>
      <c r="AA41" s="11">
        <f t="shared" si="27"/>
        <v>94.55822657220719</v>
      </c>
      <c r="AB41" s="8">
        <f t="shared" si="28"/>
        <v>3.8670822152549973</v>
      </c>
      <c r="AC41" s="9">
        <f t="shared" si="29"/>
        <v>-0.18410769974769256</v>
      </c>
      <c r="AD41" s="11">
        <f t="shared" si="30"/>
        <v>-820.87486394171196</v>
      </c>
    </row>
    <row r="42" spans="1:30" x14ac:dyDescent="0.25">
      <c r="I42" s="1"/>
      <c r="J42" s="1"/>
      <c r="O42" s="6">
        <f t="shared" si="15"/>
        <v>45</v>
      </c>
      <c r="P42" s="7">
        <f t="shared" si="16"/>
        <v>6.8078668683812404E-2</v>
      </c>
      <c r="Q42" s="8">
        <f t="shared" si="17"/>
        <v>6.8639982971750042</v>
      </c>
      <c r="R42" s="9">
        <f t="shared" si="18"/>
        <v>0.2209596507753909</v>
      </c>
      <c r="S42" s="9">
        <f t="shared" si="19"/>
        <v>4.0994105885431502E-2</v>
      </c>
      <c r="T42" s="8">
        <f t="shared" si="20"/>
        <v>1.6883008379508819</v>
      </c>
      <c r="U42" s="8">
        <f t="shared" si="21"/>
        <v>1.7883999999999998</v>
      </c>
      <c r="V42" s="8">
        <f t="shared" si="22"/>
        <v>1.0999907917485478E-2</v>
      </c>
      <c r="W42" s="10">
        <f t="shared" si="23"/>
        <v>2.0111827712584205</v>
      </c>
      <c r="X42" s="8">
        <f t="shared" si="24"/>
        <v>5.3900346404168218</v>
      </c>
      <c r="Y42" s="9">
        <f t="shared" si="25"/>
        <v>0.36694638247920874</v>
      </c>
      <c r="Z42" s="11">
        <f t="shared" si="26"/>
        <v>22.62510665709264</v>
      </c>
      <c r="AA42" s="11">
        <f t="shared" si="27"/>
        <v>50.159580103733774</v>
      </c>
      <c r="AB42" s="8">
        <f t="shared" si="28"/>
        <v>4.0448561394066997</v>
      </c>
      <c r="AC42" s="9">
        <f t="shared" si="29"/>
        <v>-0.20507715222848774</v>
      </c>
      <c r="AD42" s="11">
        <f t="shared" si="30"/>
        <v>-935.1518141619041</v>
      </c>
    </row>
    <row r="43" spans="1:30" x14ac:dyDescent="0.25">
      <c r="A43" s="1" t="s">
        <v>73</v>
      </c>
      <c r="B43" s="1">
        <f>J10</f>
        <v>45</v>
      </c>
      <c r="C43" s="1" t="s">
        <v>56</v>
      </c>
      <c r="I43" s="1"/>
      <c r="J43" s="1"/>
      <c r="O43" s="6">
        <f t="shared" si="15"/>
        <v>46</v>
      </c>
      <c r="P43" s="7">
        <f t="shared" ref="P43:P66" si="31">O43/661</f>
        <v>6.9591527987897125E-2</v>
      </c>
      <c r="Q43" s="8">
        <f t="shared" ref="Q43:Q66" si="32">1481*P43^2</f>
        <v>7.1724545169492888</v>
      </c>
      <c r="R43" s="9">
        <f t="shared" ref="R43:R66" si="33">IF(W43&lt;1,"",$P$10/Q43/$P$13)</f>
        <v>0.21145713271274411</v>
      </c>
      <c r="S43" s="9">
        <f t="shared" ref="S43:S66" si="34">IF(W43&lt;1,"",R43^2/(PI()*$P$12)+$P$11)</f>
        <v>4.0732515746366695E-2</v>
      </c>
      <c r="T43" s="8">
        <f t="shared" ref="T43:T66" si="35">IF(S43="","",Q43*S43*$P$13)</f>
        <v>1.7529126993104152</v>
      </c>
      <c r="U43" s="8">
        <f t="shared" ref="U43:U66" si="36">$P$9*($G$28*O43^2+$G$29*O43+$G$30)</f>
        <v>1.7577999999999998</v>
      </c>
      <c r="V43" s="8">
        <f t="shared" ref="V43:V66" si="37">IF(S43="","",(U43-T43)/$P$10)</f>
        <v>5.3706600984446714E-4</v>
      </c>
      <c r="W43" s="10">
        <f t="shared" ref="W43:W66" si="38">P43/$U$9</f>
        <v>2.0558757217308297</v>
      </c>
      <c r="X43" s="8">
        <f t="shared" ref="X43:X66" si="39">IF(W43&lt;1,"",R43/S43)</f>
        <v>5.1913595032883748</v>
      </c>
      <c r="Y43" s="9">
        <f t="shared" ref="Y43:Y66" si="40">IF(W43&lt;1,"",X43*P43)</f>
        <v>0.36127464016832866</v>
      </c>
      <c r="Z43" s="11">
        <f t="shared" ref="Z43:Z66" si="41">O43-$U$10</f>
        <v>23.62510665709264</v>
      </c>
      <c r="AA43" s="11">
        <f t="shared" ref="AA43:AA66" si="42">IF(W43&lt;1,"",V43*O43/60*6080)</f>
        <v>2.5034436938883426</v>
      </c>
      <c r="AB43" s="8">
        <f t="shared" ref="AB43:AB66" si="43">IF(W43&lt;1,"",W43^2)</f>
        <v>4.2266249832022593</v>
      </c>
      <c r="AC43" s="9">
        <f t="shared" ref="AC43:AC66" si="44">IF(W43&lt;1,"",(U43-(Q43*$P$13*($P$11+$P$8^2/(PI()*$P$12))))/$P$10)</f>
        <v>-0.22648720729620786</v>
      </c>
      <c r="AD43" s="11">
        <f t="shared" ref="AD43:AD66" si="45">IF(W43&lt;1,"",AC43*O43*6080/60)</f>
        <v>-1055.7323689433904</v>
      </c>
    </row>
    <row r="44" spans="1:30" x14ac:dyDescent="0.25">
      <c r="A44" s="1" t="s">
        <v>74</v>
      </c>
      <c r="B44" s="1">
        <f>50/B43*30</f>
        <v>33.333333333333336</v>
      </c>
      <c r="C44" s="1" t="s">
        <v>75</v>
      </c>
      <c r="E44" s="1" t="s">
        <v>84</v>
      </c>
      <c r="F44">
        <v>16</v>
      </c>
      <c r="G44" t="s">
        <v>91</v>
      </c>
      <c r="I44" s="1"/>
      <c r="J44" s="1"/>
      <c r="O44" s="6">
        <f t="shared" si="15"/>
        <v>47</v>
      </c>
      <c r="P44" s="7">
        <f t="shared" si="31"/>
        <v>7.1104387291981846E-2</v>
      </c>
      <c r="Q44" s="8">
        <f t="shared" si="32"/>
        <v>7.4876899943010287</v>
      </c>
      <c r="R44" s="9">
        <f t="shared" si="33"/>
        <v>0.20255468212773498</v>
      </c>
      <c r="S44" s="9">
        <f t="shared" si="34"/>
        <v>4.0497875541245523E-2</v>
      </c>
      <c r="T44" s="8">
        <f t="shared" si="35"/>
        <v>1.8194132248837949</v>
      </c>
      <c r="U44" s="8">
        <f t="shared" si="36"/>
        <v>1.7267999999999999</v>
      </c>
      <c r="V44" s="8">
        <f t="shared" si="37"/>
        <v>-1.017727745975769E-2</v>
      </c>
      <c r="W44" s="10">
        <f t="shared" si="38"/>
        <v>2.1005686722032388</v>
      </c>
      <c r="X44" s="8">
        <f t="shared" si="39"/>
        <v>5.0016125394390345</v>
      </c>
      <c r="Y44" s="9">
        <f t="shared" si="40"/>
        <v>0.35563659508870593</v>
      </c>
      <c r="Z44" s="11">
        <f t="shared" si="41"/>
        <v>24.62510665709264</v>
      </c>
      <c r="AA44" s="11">
        <f t="shared" si="42"/>
        <v>-48.470980115005965</v>
      </c>
      <c r="AB44" s="8">
        <f t="shared" si="43"/>
        <v>4.4123887466416782</v>
      </c>
      <c r="AC44" s="9">
        <f t="shared" si="44"/>
        <v>-0.24833786495085264</v>
      </c>
      <c r="AD44" s="11">
        <f t="shared" si="45"/>
        <v>-1182.7504714725942</v>
      </c>
    </row>
    <row r="45" spans="1:30" x14ac:dyDescent="0.25">
      <c r="A45" s="1" t="s">
        <v>76</v>
      </c>
      <c r="B45" s="1">
        <f>B44*3</f>
        <v>100</v>
      </c>
      <c r="C45" s="1" t="s">
        <v>75</v>
      </c>
      <c r="E45" s="1" t="s">
        <v>84</v>
      </c>
      <c r="F45">
        <v>80</v>
      </c>
      <c r="G45" t="s">
        <v>75</v>
      </c>
      <c r="I45" s="1"/>
      <c r="J45" s="1"/>
      <c r="O45" s="6">
        <f t="shared" si="15"/>
        <v>48</v>
      </c>
      <c r="P45" s="7">
        <f t="shared" si="31"/>
        <v>7.2617246596066568E-2</v>
      </c>
      <c r="Q45" s="8">
        <f t="shared" si="32"/>
        <v>7.8097047292302264</v>
      </c>
      <c r="R45" s="9">
        <f t="shared" si="33"/>
        <v>0.19420281806430839</v>
      </c>
      <c r="S45" s="9">
        <f t="shared" si="34"/>
        <v>4.0286921094050569E-2</v>
      </c>
      <c r="T45" s="8">
        <f t="shared" si="35"/>
        <v>1.8877737491659901</v>
      </c>
      <c r="U45" s="8">
        <f t="shared" si="36"/>
        <v>1.6953999999999998</v>
      </c>
      <c r="V45" s="8">
        <f t="shared" si="37"/>
        <v>-2.1139972435823107E-2</v>
      </c>
      <c r="W45" s="10">
        <f t="shared" si="38"/>
        <v>2.1452616226756485</v>
      </c>
      <c r="X45" s="8">
        <f t="shared" si="39"/>
        <v>4.8204929240171586</v>
      </c>
      <c r="Y45" s="9">
        <f t="shared" si="40"/>
        <v>0.35005092337794796</v>
      </c>
      <c r="Z45" s="11">
        <f t="shared" si="41"/>
        <v>25.62510665709264</v>
      </c>
      <c r="AA45" s="11">
        <f t="shared" si="42"/>
        <v>-102.82482592784361</v>
      </c>
      <c r="AB45" s="8">
        <f t="shared" si="43"/>
        <v>4.6021474297249565</v>
      </c>
      <c r="AC45" s="9">
        <f t="shared" si="44"/>
        <v>-0.27062912519242249</v>
      </c>
      <c r="AD45" s="11">
        <f t="shared" si="45"/>
        <v>-1316.340064935943</v>
      </c>
    </row>
    <row r="46" spans="1:30" x14ac:dyDescent="0.25">
      <c r="I46" s="1"/>
      <c r="J46" s="1"/>
      <c r="O46" s="6">
        <f t="shared" si="15"/>
        <v>49</v>
      </c>
      <c r="P46" s="7">
        <f t="shared" si="31"/>
        <v>7.4130105900151289E-2</v>
      </c>
      <c r="Q46" s="8">
        <f t="shared" si="32"/>
        <v>8.138498721736882</v>
      </c>
      <c r="R46" s="9">
        <f t="shared" si="33"/>
        <v>0.18635705656816595</v>
      </c>
      <c r="S46" s="9">
        <f t="shared" si="34"/>
        <v>4.0096840307608919E-2</v>
      </c>
      <c r="T46" s="8">
        <f t="shared" si="35"/>
        <v>1.9579685015349786</v>
      </c>
      <c r="U46" s="8">
        <f t="shared" si="36"/>
        <v>1.6635999999999997</v>
      </c>
      <c r="V46" s="8">
        <f t="shared" si="37"/>
        <v>-3.2348186981865805E-2</v>
      </c>
      <c r="W46" s="10">
        <f t="shared" si="38"/>
        <v>2.1899545731480576</v>
      </c>
      <c r="X46" s="8">
        <f t="shared" si="39"/>
        <v>4.6476743588397458</v>
      </c>
      <c r="Y46" s="9">
        <f t="shared" si="40"/>
        <v>0.34453259241020812</v>
      </c>
      <c r="Z46" s="11">
        <f t="shared" si="41"/>
        <v>26.62510665709264</v>
      </c>
      <c r="AA46" s="11">
        <f t="shared" si="42"/>
        <v>-160.61953109395768</v>
      </c>
      <c r="AB46" s="8">
        <f t="shared" si="43"/>
        <v>4.7959010324520914</v>
      </c>
      <c r="AC46" s="9">
        <f t="shared" si="44"/>
        <v>-0.29336098802091726</v>
      </c>
      <c r="AD46" s="11">
        <f t="shared" si="45"/>
        <v>-1456.635092519861</v>
      </c>
    </row>
    <row r="47" spans="1:30" x14ac:dyDescent="0.25">
      <c r="A47" s="1" t="s">
        <v>77</v>
      </c>
      <c r="B47" s="1">
        <f>J13</f>
        <v>45</v>
      </c>
      <c r="C47" s="1" t="s">
        <v>56</v>
      </c>
      <c r="E47" s="1" t="s">
        <v>84</v>
      </c>
      <c r="F47">
        <f>7*8</f>
        <v>56</v>
      </c>
      <c r="G47" t="s">
        <v>92</v>
      </c>
      <c r="H47" s="1" t="s">
        <v>93</v>
      </c>
      <c r="I47" s="1"/>
      <c r="J47" s="1"/>
      <c r="O47" s="6">
        <f t="shared" si="15"/>
        <v>50</v>
      </c>
      <c r="P47" s="7">
        <f t="shared" si="31"/>
        <v>7.564296520423601E-2</v>
      </c>
      <c r="Q47" s="8">
        <f t="shared" si="32"/>
        <v>8.4740719718209938</v>
      </c>
      <c r="R47" s="9">
        <f t="shared" si="33"/>
        <v>0.17897731712806661</v>
      </c>
      <c r="S47" s="9">
        <f t="shared" si="34"/>
        <v>3.9925203002351702E-2</v>
      </c>
      <c r="T47" s="8">
        <f t="shared" si="35"/>
        <v>2.0299742623889516</v>
      </c>
      <c r="U47" s="8">
        <f t="shared" si="36"/>
        <v>1.6313999999999997</v>
      </c>
      <c r="V47" s="8">
        <f t="shared" si="37"/>
        <v>-4.3799369493291419E-2</v>
      </c>
      <c r="W47" s="10">
        <f t="shared" si="38"/>
        <v>2.2346475236204673</v>
      </c>
      <c r="X47" s="8">
        <f t="shared" si="39"/>
        <v>4.48281545663085</v>
      </c>
      <c r="Y47" s="9">
        <f t="shared" si="40"/>
        <v>0.33909345360293874</v>
      </c>
      <c r="Z47" s="11">
        <f t="shared" si="41"/>
        <v>27.62510665709264</v>
      </c>
      <c r="AA47" s="11">
        <f t="shared" si="42"/>
        <v>-221.91680543267654</v>
      </c>
      <c r="AB47" s="8">
        <f t="shared" si="43"/>
        <v>4.9936495548230866</v>
      </c>
      <c r="AC47" s="9">
        <f t="shared" si="44"/>
        <v>-0.31653345343633693</v>
      </c>
      <c r="AD47" s="11">
        <f t="shared" si="45"/>
        <v>-1603.7694974107737</v>
      </c>
    </row>
    <row r="48" spans="1:30" x14ac:dyDescent="0.25">
      <c r="A48" s="1" t="s">
        <v>74</v>
      </c>
      <c r="B48" s="1">
        <f>30*50/B47</f>
        <v>33.333333333333336</v>
      </c>
      <c r="C48" s="1" t="s">
        <v>75</v>
      </c>
      <c r="E48" s="1" t="s">
        <v>84</v>
      </c>
      <c r="F48">
        <v>15</v>
      </c>
      <c r="G48" t="s">
        <v>91</v>
      </c>
      <c r="I48" s="1"/>
      <c r="J48" s="1"/>
      <c r="O48" s="6">
        <f t="shared" si="15"/>
        <v>51</v>
      </c>
      <c r="P48" s="7">
        <f t="shared" si="31"/>
        <v>7.7155824508320731E-2</v>
      </c>
      <c r="Q48" s="8">
        <f t="shared" si="32"/>
        <v>8.8164244794825617</v>
      </c>
      <c r="R48" s="9">
        <f t="shared" si="33"/>
        <v>0.17202740977322817</v>
      </c>
      <c r="S48" s="9">
        <f t="shared" si="34"/>
        <v>3.976990277077732E-2</v>
      </c>
      <c r="T48" s="8">
        <f t="shared" si="35"/>
        <v>2.1037700660095351</v>
      </c>
      <c r="U48" s="8">
        <f t="shared" si="36"/>
        <v>1.5987999999999998</v>
      </c>
      <c r="V48" s="8">
        <f t="shared" si="37"/>
        <v>-5.5491216045003885E-2</v>
      </c>
      <c r="W48" s="10">
        <f t="shared" si="38"/>
        <v>2.2793404740928764</v>
      </c>
      <c r="X48" s="8">
        <f t="shared" si="39"/>
        <v>4.3255677733170836</v>
      </c>
      <c r="Y48" s="9">
        <f t="shared" si="40"/>
        <v>0.33374274801690057</v>
      </c>
      <c r="Z48" s="11">
        <f t="shared" si="41"/>
        <v>28.62510665709264</v>
      </c>
      <c r="AA48" s="11">
        <f t="shared" si="42"/>
        <v>-286.77860452058007</v>
      </c>
      <c r="AB48" s="8">
        <f t="shared" si="43"/>
        <v>5.1953929968379384</v>
      </c>
      <c r="AC48" s="9">
        <f t="shared" si="44"/>
        <v>-0.34014652143868129</v>
      </c>
      <c r="AD48" s="11">
        <f t="shared" si="45"/>
        <v>-1757.8772227951049</v>
      </c>
    </row>
    <row r="49" spans="1:30" x14ac:dyDescent="0.25">
      <c r="A49" s="1" t="s">
        <v>78</v>
      </c>
      <c r="B49" s="1">
        <f>INT(600/B48)</f>
        <v>18</v>
      </c>
      <c r="C49" s="1" t="s">
        <v>79</v>
      </c>
      <c r="E49" s="1" t="s">
        <v>84</v>
      </c>
      <c r="F49">
        <v>23</v>
      </c>
      <c r="G49" t="s">
        <v>79</v>
      </c>
      <c r="I49" s="1"/>
      <c r="J49" s="1"/>
      <c r="O49" s="6">
        <f t="shared" si="15"/>
        <v>52</v>
      </c>
      <c r="P49" s="7">
        <f t="shared" si="31"/>
        <v>7.8668683812405452E-2</v>
      </c>
      <c r="Q49" s="8">
        <f t="shared" si="32"/>
        <v>9.1655562447215857</v>
      </c>
      <c r="R49" s="9">
        <f t="shared" si="33"/>
        <v>0.16547459054000244</v>
      </c>
      <c r="S49" s="9">
        <f t="shared" si="34"/>
        <v>3.96291086040748E-2</v>
      </c>
      <c r="T49" s="8">
        <f t="shared" si="35"/>
        <v>2.1793369430329661</v>
      </c>
      <c r="U49" s="8">
        <f t="shared" si="36"/>
        <v>1.5657999999999999</v>
      </c>
      <c r="V49" s="8">
        <f t="shared" si="37"/>
        <v>-6.7421642091534756E-2</v>
      </c>
      <c r="W49" s="10">
        <f t="shared" si="38"/>
        <v>2.3240334245652861</v>
      </c>
      <c r="X49" s="8">
        <f t="shared" si="39"/>
        <v>4.1755819489461787</v>
      </c>
      <c r="Y49" s="9">
        <f t="shared" si="40"/>
        <v>0.32848753607443465</v>
      </c>
      <c r="Z49" s="11">
        <f t="shared" si="41"/>
        <v>29.62510665709264</v>
      </c>
      <c r="AA49" s="11">
        <f t="shared" si="42"/>
        <v>-355.2671060609938</v>
      </c>
      <c r="AB49" s="8">
        <f t="shared" si="43"/>
        <v>5.4011313584966514</v>
      </c>
      <c r="AC49" s="9">
        <f t="shared" si="44"/>
        <v>-0.36420019202795068</v>
      </c>
      <c r="AD49" s="11">
        <f t="shared" si="45"/>
        <v>-1919.0922118592816</v>
      </c>
    </row>
    <row r="50" spans="1:30" x14ac:dyDescent="0.25">
      <c r="I50" s="1"/>
      <c r="J50" s="1"/>
      <c r="O50" s="6">
        <f t="shared" si="15"/>
        <v>53</v>
      </c>
      <c r="P50" s="7">
        <f t="shared" si="31"/>
        <v>8.0181543116490173E-2</v>
      </c>
      <c r="Q50" s="8">
        <f t="shared" si="32"/>
        <v>9.5214672675380694</v>
      </c>
      <c r="R50" s="9">
        <f t="shared" si="33"/>
        <v>0.15928917508727891</v>
      </c>
      <c r="S50" s="9">
        <f t="shared" si="34"/>
        <v>3.9501224499679514E-2</v>
      </c>
      <c r="T50" s="8">
        <f t="shared" si="35"/>
        <v>2.2566576966082281</v>
      </c>
      <c r="U50" s="8">
        <f t="shared" si="36"/>
        <v>1.5323999999999998</v>
      </c>
      <c r="V50" s="8">
        <f t="shared" si="37"/>
        <v>-7.9588757869036089E-2</v>
      </c>
      <c r="W50" s="10">
        <f t="shared" si="38"/>
        <v>2.3687263750376952</v>
      </c>
      <c r="X50" s="8">
        <f t="shared" si="39"/>
        <v>4.0325123361320427</v>
      </c>
      <c r="Y50" s="9">
        <f t="shared" si="40"/>
        <v>0.32333306174734988</v>
      </c>
      <c r="Z50" s="11">
        <f t="shared" si="41"/>
        <v>30.62510665709264</v>
      </c>
      <c r="AA50" s="11">
        <f t="shared" si="42"/>
        <v>-427.44468892863648</v>
      </c>
      <c r="AB50" s="8">
        <f t="shared" si="43"/>
        <v>5.6108646397992201</v>
      </c>
      <c r="AC50" s="9">
        <f t="shared" si="44"/>
        <v>-0.38869446520414502</v>
      </c>
      <c r="AD50" s="11">
        <f t="shared" si="45"/>
        <v>-2087.5484077897281</v>
      </c>
    </row>
    <row r="51" spans="1:30" x14ac:dyDescent="0.25">
      <c r="A51" s="1" t="s">
        <v>80</v>
      </c>
      <c r="B51" s="1">
        <f>12*U13</f>
        <v>65.726706900619931</v>
      </c>
      <c r="C51" s="1" t="s">
        <v>83</v>
      </c>
      <c r="I51" s="1"/>
      <c r="J51" s="1"/>
      <c r="O51" s="6">
        <f t="shared" si="15"/>
        <v>54</v>
      </c>
      <c r="P51" s="7">
        <f t="shared" si="31"/>
        <v>8.169440242057488E-2</v>
      </c>
      <c r="Q51" s="8">
        <f t="shared" si="32"/>
        <v>9.8841575479320039</v>
      </c>
      <c r="R51" s="9">
        <f t="shared" si="33"/>
        <v>0.15344420192735481</v>
      </c>
      <c r="S51" s="9">
        <f t="shared" si="34"/>
        <v>3.9384855613167492E-2</v>
      </c>
      <c r="T51" s="8">
        <f t="shared" si="35"/>
        <v>2.3357167072986096</v>
      </c>
      <c r="U51" s="8">
        <f t="shared" si="36"/>
        <v>1.4985999999999997</v>
      </c>
      <c r="V51" s="8">
        <f t="shared" si="37"/>
        <v>-9.1990846955891201E-2</v>
      </c>
      <c r="W51" s="10">
        <f t="shared" si="38"/>
        <v>2.413419325510104</v>
      </c>
      <c r="X51" s="8">
        <f t="shared" si="39"/>
        <v>3.896020425578353</v>
      </c>
      <c r="Y51" s="9">
        <f t="shared" si="40"/>
        <v>0.31828306048597738</v>
      </c>
      <c r="Z51" s="11">
        <f t="shared" si="41"/>
        <v>31.62510665709264</v>
      </c>
      <c r="AA51" s="11">
        <f t="shared" si="42"/>
        <v>-503.37391454263661</v>
      </c>
      <c r="AB51" s="8">
        <f t="shared" si="43"/>
        <v>5.8245928407456455</v>
      </c>
      <c r="AC51" s="9">
        <f t="shared" si="44"/>
        <v>-0.413629340967264</v>
      </c>
      <c r="AD51" s="11">
        <f t="shared" si="45"/>
        <v>-2263.3797537728688</v>
      </c>
    </row>
    <row r="52" spans="1:30" x14ac:dyDescent="0.25">
      <c r="I52" s="1"/>
      <c r="J52" s="1"/>
      <c r="O52" s="6">
        <f t="shared" si="15"/>
        <v>55</v>
      </c>
      <c r="P52" s="7">
        <f t="shared" si="31"/>
        <v>8.3207261724659601E-2</v>
      </c>
      <c r="Q52" s="8">
        <f t="shared" si="32"/>
        <v>10.2536270859034</v>
      </c>
      <c r="R52" s="9">
        <f t="shared" si="33"/>
        <v>0.14791513812236912</v>
      </c>
      <c r="S52" s="9">
        <f t="shared" si="34"/>
        <v>3.9278779797293696E-2</v>
      </c>
      <c r="T52" s="8">
        <f t="shared" si="35"/>
        <v>2.4164997625845954</v>
      </c>
      <c r="U52" s="8">
        <f t="shared" si="36"/>
        <v>1.4643999999999999</v>
      </c>
      <c r="V52" s="8">
        <f t="shared" si="37"/>
        <v>-0.10462634753676874</v>
      </c>
      <c r="W52" s="10">
        <f t="shared" si="38"/>
        <v>2.4581122759825136</v>
      </c>
      <c r="X52" s="8">
        <f t="shared" si="39"/>
        <v>3.765777320113199</v>
      </c>
      <c r="Y52" s="9">
        <f t="shared" si="40"/>
        <v>0.31334001907144621</v>
      </c>
      <c r="Z52" s="11">
        <f t="shared" si="41"/>
        <v>32.625106657092644</v>
      </c>
      <c r="AA52" s="11">
        <f t="shared" si="42"/>
        <v>-583.11751027159119</v>
      </c>
      <c r="AB52" s="8">
        <f t="shared" si="43"/>
        <v>6.042315961335933</v>
      </c>
      <c r="AC52" s="9">
        <f t="shared" si="44"/>
        <v>-0.43900481931730811</v>
      </c>
      <c r="AD52" s="11">
        <f t="shared" si="45"/>
        <v>-2446.7201929951307</v>
      </c>
    </row>
    <row r="53" spans="1:30" x14ac:dyDescent="0.25">
      <c r="A53" s="1" t="s">
        <v>85</v>
      </c>
      <c r="B53" s="1">
        <v>1</v>
      </c>
      <c r="I53" s="1"/>
      <c r="J53" s="1"/>
      <c r="O53" s="6">
        <f t="shared" si="15"/>
        <v>56</v>
      </c>
      <c r="P53" s="7">
        <f t="shared" si="31"/>
        <v>8.4720121028744322E-2</v>
      </c>
      <c r="Q53" s="8">
        <f t="shared" si="32"/>
        <v>10.629875881452252</v>
      </c>
      <c r="R53" s="9">
        <f t="shared" si="33"/>
        <v>0.1426796214350021</v>
      </c>
      <c r="S53" s="9">
        <f t="shared" si="34"/>
        <v>3.9181923592133835E-2</v>
      </c>
      <c r="T53" s="8">
        <f t="shared" si="35"/>
        <v>2.4989939074855707</v>
      </c>
      <c r="U53" s="8">
        <f t="shared" si="36"/>
        <v>1.4297999999999997</v>
      </c>
      <c r="V53" s="8">
        <f t="shared" si="37"/>
        <v>-0.11749383598742538</v>
      </c>
      <c r="W53" s="10">
        <f t="shared" si="38"/>
        <v>2.5028052264549228</v>
      </c>
      <c r="X53" s="8">
        <f t="shared" si="39"/>
        <v>3.6414654604565269</v>
      </c>
      <c r="Y53" s="9">
        <f t="shared" si="40"/>
        <v>0.30850539453186915</v>
      </c>
      <c r="Z53" s="11">
        <f t="shared" si="41"/>
        <v>33.625106657092644</v>
      </c>
      <c r="AA53" s="11">
        <f t="shared" si="42"/>
        <v>-666.73835461664328</v>
      </c>
      <c r="AB53" s="8">
        <f t="shared" si="43"/>
        <v>6.2640340015700771</v>
      </c>
      <c r="AC53" s="9">
        <f t="shared" si="44"/>
        <v>-0.46482090025427708</v>
      </c>
      <c r="AD53" s="11">
        <f t="shared" si="45"/>
        <v>-2637.7036686429378</v>
      </c>
    </row>
    <row r="54" spans="1:30" x14ac:dyDescent="0.25">
      <c r="A54" s="1" t="s">
        <v>86</v>
      </c>
      <c r="B54" s="1">
        <f>2*((B31/B45)/(F44/F45))</f>
        <v>1.2</v>
      </c>
      <c r="I54" s="1"/>
      <c r="J54" s="1"/>
      <c r="O54" s="6">
        <f t="shared" si="15"/>
        <v>57</v>
      </c>
      <c r="P54" s="7">
        <f t="shared" si="31"/>
        <v>8.6232980332829043E-2</v>
      </c>
      <c r="Q54" s="8">
        <f t="shared" si="32"/>
        <v>11.012903934578562</v>
      </c>
      <c r="R54" s="9">
        <f t="shared" si="33"/>
        <v>0.13771723386277826</v>
      </c>
      <c r="S54" s="9">
        <f t="shared" si="34"/>
        <v>3.909334190612624E-2</v>
      </c>
      <c r="T54" s="8">
        <f t="shared" si="35"/>
        <v>2.5831873133628158</v>
      </c>
      <c r="U54" s="8">
        <f t="shared" si="36"/>
        <v>1.3947999999999998</v>
      </c>
      <c r="V54" s="8">
        <f t="shared" si="37"/>
        <v>-0.13059201245745231</v>
      </c>
      <c r="W54" s="10">
        <f t="shared" si="38"/>
        <v>2.5474981769273324</v>
      </c>
      <c r="X54" s="8">
        <f t="shared" si="39"/>
        <v>3.5227797662700429</v>
      </c>
      <c r="Y54" s="9">
        <f t="shared" si="40"/>
        <v>0.30377979830165269</v>
      </c>
      <c r="Z54" s="11">
        <f t="shared" si="41"/>
        <v>34.625106657092644</v>
      </c>
      <c r="AA54" s="11">
        <f t="shared" si="42"/>
        <v>-754.29946395424452</v>
      </c>
      <c r="AB54" s="8">
        <f t="shared" si="43"/>
        <v>6.4897469614480823</v>
      </c>
      <c r="AC54" s="9">
        <f t="shared" si="44"/>
        <v>-0.49107758377817096</v>
      </c>
      <c r="AD54" s="11">
        <f t="shared" si="45"/>
        <v>-2836.4641239027155</v>
      </c>
    </row>
    <row r="55" spans="1:30" x14ac:dyDescent="0.25">
      <c r="A55" s="1" t="s">
        <v>87</v>
      </c>
      <c r="B55" s="1">
        <f>4*((B31*B33*B34*B49)/(F48*F47*F49))</f>
        <v>1.0732919254658384</v>
      </c>
      <c r="I55" s="1"/>
      <c r="J55" s="1"/>
      <c r="O55" s="6">
        <f t="shared" si="15"/>
        <v>58</v>
      </c>
      <c r="P55" s="7">
        <f t="shared" si="31"/>
        <v>8.7745839636913764E-2</v>
      </c>
      <c r="Q55" s="8">
        <f t="shared" si="32"/>
        <v>11.402711245282328</v>
      </c>
      <c r="R55" s="9">
        <f t="shared" si="33"/>
        <v>0.13300930226521004</v>
      </c>
      <c r="S55" s="9">
        <f t="shared" si="34"/>
        <v>3.9012200768220866E-2</v>
      </c>
      <c r="T55" s="8">
        <f t="shared" si="35"/>
        <v>2.6690691624180234</v>
      </c>
      <c r="U55" s="8">
        <f t="shared" si="36"/>
        <v>1.3593999999999999</v>
      </c>
      <c r="V55" s="8">
        <f t="shared" si="37"/>
        <v>-0.14391968817780479</v>
      </c>
      <c r="W55" s="10">
        <f t="shared" si="38"/>
        <v>2.5921911273997416</v>
      </c>
      <c r="X55" s="8">
        <f t="shared" si="39"/>
        <v>3.4094283236017469</v>
      </c>
      <c r="Y55" s="9">
        <f t="shared" si="40"/>
        <v>0.29916315093631063</v>
      </c>
      <c r="Z55" s="11">
        <f t="shared" si="41"/>
        <v>35.625106657092644</v>
      </c>
      <c r="AA55" s="11">
        <f t="shared" si="42"/>
        <v>-845.86398065035132</v>
      </c>
      <c r="AB55" s="8">
        <f t="shared" si="43"/>
        <v>6.7194548409699433</v>
      </c>
      <c r="AC55" s="9">
        <f t="shared" si="44"/>
        <v>-0.51777486988898969</v>
      </c>
      <c r="AD55" s="11">
        <f t="shared" si="45"/>
        <v>-3043.1355019608886</v>
      </c>
    </row>
    <row r="56" spans="1:30" x14ac:dyDescent="0.25">
      <c r="I56" s="1"/>
      <c r="J56" s="1"/>
      <c r="O56" s="6">
        <f t="shared" si="15"/>
        <v>59</v>
      </c>
      <c r="P56" s="7">
        <f t="shared" si="31"/>
        <v>8.9258698940998485E-2</v>
      </c>
      <c r="Q56" s="8">
        <f t="shared" si="32"/>
        <v>11.799297813563552</v>
      </c>
      <c r="R56" s="9">
        <f t="shared" si="33"/>
        <v>0.12853872244187489</v>
      </c>
      <c r="S56" s="9">
        <f t="shared" si="34"/>
        <v>3.8937762643930465E-2</v>
      </c>
      <c r="T56" s="8">
        <f t="shared" si="35"/>
        <v>2.7566295457775118</v>
      </c>
      <c r="U56" s="8">
        <f t="shared" si="36"/>
        <v>1.3235999999999999</v>
      </c>
      <c r="V56" s="8">
        <f t="shared" si="37"/>
        <v>-0.15747577426126505</v>
      </c>
      <c r="W56" s="10">
        <f t="shared" si="38"/>
        <v>2.6368840778721512</v>
      </c>
      <c r="X56" s="8">
        <f t="shared" si="39"/>
        <v>3.3011327234517216</v>
      </c>
      <c r="Y56" s="9">
        <f t="shared" si="40"/>
        <v>0.29465481192685561</v>
      </c>
      <c r="Z56" s="11">
        <f t="shared" si="41"/>
        <v>36.625106657092644</v>
      </c>
      <c r="AA56" s="11">
        <f t="shared" si="42"/>
        <v>-941.49516238335002</v>
      </c>
      <c r="AB56" s="8">
        <f t="shared" si="43"/>
        <v>6.9531576401356654</v>
      </c>
      <c r="AC56" s="9">
        <f t="shared" si="44"/>
        <v>-0.54491275858673338</v>
      </c>
      <c r="AD56" s="11">
        <f t="shared" si="45"/>
        <v>-3257.8517460038838</v>
      </c>
    </row>
    <row r="57" spans="1:30" x14ac:dyDescent="0.25">
      <c r="A57" s="1" t="s">
        <v>88</v>
      </c>
      <c r="B57" s="1">
        <f>(B29+B30)*B51</f>
        <v>400.93291209378157</v>
      </c>
      <c r="I57" s="1"/>
      <c r="J57" s="1"/>
      <c r="O57" s="6">
        <f t="shared" si="15"/>
        <v>60</v>
      </c>
      <c r="P57" s="7">
        <f t="shared" si="31"/>
        <v>9.0771558245083206E-2</v>
      </c>
      <c r="Q57" s="8">
        <f t="shared" si="32"/>
        <v>12.202663639422228</v>
      </c>
      <c r="R57" s="9">
        <f t="shared" si="33"/>
        <v>0.12428980356115739</v>
      </c>
      <c r="S57" s="9">
        <f t="shared" si="34"/>
        <v>3.8869373898719292E-2</v>
      </c>
      <c r="T57" s="8">
        <f t="shared" si="35"/>
        <v>2.8458593733660562</v>
      </c>
      <c r="U57" s="8">
        <f t="shared" si="36"/>
        <v>1.2873999999999999</v>
      </c>
      <c r="V57" s="8">
        <f t="shared" si="37"/>
        <v>-0.17125927179846773</v>
      </c>
      <c r="W57" s="10">
        <f t="shared" si="38"/>
        <v>2.6815770283445604</v>
      </c>
      <c r="X57" s="8">
        <f t="shared" si="39"/>
        <v>3.1976281348141966</v>
      </c>
      <c r="Y57" s="9">
        <f t="shared" si="40"/>
        <v>0.29025368848540362</v>
      </c>
      <c r="Z57" s="11">
        <f t="shared" si="41"/>
        <v>37.625106657092644</v>
      </c>
      <c r="AA57" s="11">
        <f t="shared" si="42"/>
        <v>-1041.2563725346838</v>
      </c>
      <c r="AB57" s="8">
        <f t="shared" si="43"/>
        <v>7.1908553589452433</v>
      </c>
      <c r="AC57" s="9">
        <f t="shared" si="44"/>
        <v>-0.57249124987140187</v>
      </c>
      <c r="AD57" s="11">
        <f t="shared" si="45"/>
        <v>-3480.7467992181237</v>
      </c>
    </row>
    <row r="58" spans="1:30" x14ac:dyDescent="0.25">
      <c r="A58" s="1" t="s">
        <v>90</v>
      </c>
      <c r="B58" s="1">
        <v>90</v>
      </c>
      <c r="I58" s="1"/>
      <c r="J58" s="1"/>
      <c r="O58" s="6">
        <f t="shared" si="15"/>
        <v>61</v>
      </c>
      <c r="P58" s="7">
        <f t="shared" si="31"/>
        <v>9.2284417549167927E-2</v>
      </c>
      <c r="Q58" s="8">
        <f t="shared" si="32"/>
        <v>12.612808722858366</v>
      </c>
      <c r="R58" s="9">
        <f t="shared" si="33"/>
        <v>0.12024813029297676</v>
      </c>
      <c r="S58" s="9">
        <f t="shared" si="34"/>
        <v>3.8806454065418494E-2</v>
      </c>
      <c r="T58" s="8">
        <f t="shared" si="35"/>
        <v>2.9367502940370773</v>
      </c>
      <c r="U58" s="8">
        <f t="shared" si="36"/>
        <v>1.2507999999999999</v>
      </c>
      <c r="V58" s="8">
        <f t="shared" si="37"/>
        <v>-0.18526926308099753</v>
      </c>
      <c r="W58" s="10">
        <f t="shared" si="38"/>
        <v>2.7262699788169695</v>
      </c>
      <c r="X58" s="8">
        <f t="shared" si="39"/>
        <v>3.0986631783019103</v>
      </c>
      <c r="Y58" s="9">
        <f t="shared" si="40"/>
        <v>0.2859583265906453</v>
      </c>
      <c r="Z58" s="11">
        <f t="shared" si="41"/>
        <v>38.625106657092644</v>
      </c>
      <c r="AA58" s="11">
        <f t="shared" si="42"/>
        <v>-1145.2110715246729</v>
      </c>
      <c r="AB58" s="8">
        <f t="shared" si="43"/>
        <v>7.4325479973986797</v>
      </c>
      <c r="AC58" s="9">
        <f t="shared" si="44"/>
        <v>-0.60051034374299539</v>
      </c>
      <c r="AD58" s="11">
        <f t="shared" si="45"/>
        <v>-3711.9546047900358</v>
      </c>
    </row>
    <row r="59" spans="1:30" x14ac:dyDescent="0.25">
      <c r="A59" s="1" t="s">
        <v>89</v>
      </c>
      <c r="B59" s="1">
        <f>B58*(B55+B54+B53)/B57*penalty</f>
        <v>0.73477697740867165</v>
      </c>
      <c r="I59" s="1"/>
      <c r="J59" s="1"/>
      <c r="O59" s="6">
        <f t="shared" si="15"/>
        <v>62</v>
      </c>
      <c r="P59" s="7">
        <f t="shared" si="31"/>
        <v>9.3797276853252648E-2</v>
      </c>
      <c r="Q59" s="8">
        <f t="shared" si="32"/>
        <v>13.029733063871957</v>
      </c>
      <c r="R59" s="9">
        <f t="shared" si="33"/>
        <v>0.11640044037985603</v>
      </c>
      <c r="S59" s="9">
        <f t="shared" si="34"/>
        <v>3.8748486631779898E-2</v>
      </c>
      <c r="T59" s="8">
        <f t="shared" si="35"/>
        <v>3.0292946246466181</v>
      </c>
      <c r="U59" s="8">
        <f t="shared" si="36"/>
        <v>1.2138</v>
      </c>
      <c r="V59" s="8">
        <f t="shared" si="37"/>
        <v>-0.19950490380732069</v>
      </c>
      <c r="W59" s="10">
        <f t="shared" si="38"/>
        <v>2.7709629292893792</v>
      </c>
      <c r="X59" s="8">
        <f t="shared" si="39"/>
        <v>3.0039996525797017</v>
      </c>
      <c r="Y59" s="9">
        <f t="shared" si="40"/>
        <v>0.28176698708009307</v>
      </c>
      <c r="Z59" s="11">
        <f t="shared" si="41"/>
        <v>39.625106657092644</v>
      </c>
      <c r="AA59" s="11">
        <f t="shared" si="42"/>
        <v>-1253.4228089867934</v>
      </c>
      <c r="AB59" s="8">
        <f t="shared" si="43"/>
        <v>7.6782355554959771</v>
      </c>
      <c r="AC59" s="9">
        <f t="shared" si="44"/>
        <v>-0.62897004020151348</v>
      </c>
      <c r="AD59" s="11">
        <f t="shared" si="45"/>
        <v>-3951.6091059060423</v>
      </c>
    </row>
    <row r="60" spans="1:30" x14ac:dyDescent="0.25">
      <c r="I60" s="1"/>
      <c r="J60" s="1"/>
      <c r="O60" s="6">
        <f t="shared" si="15"/>
        <v>63</v>
      </c>
      <c r="P60" s="7">
        <f t="shared" si="31"/>
        <v>9.5310136157337369E-2</v>
      </c>
      <c r="Q60" s="8">
        <f t="shared" si="32"/>
        <v>13.453436662463009</v>
      </c>
      <c r="R60" s="9">
        <f t="shared" si="33"/>
        <v>0.11273451570173004</v>
      </c>
      <c r="S60" s="9">
        <f t="shared" si="34"/>
        <v>3.869501111265676E-2</v>
      </c>
      <c r="T60" s="8">
        <f t="shared" si="35"/>
        <v>3.1234852869445797</v>
      </c>
      <c r="U60" s="8">
        <f t="shared" si="36"/>
        <v>1.1763999999999997</v>
      </c>
      <c r="V60" s="8">
        <f t="shared" si="37"/>
        <v>-0.21396541614775605</v>
      </c>
      <c r="W60" s="10">
        <f t="shared" si="38"/>
        <v>2.8156558797617883</v>
      </c>
      <c r="X60" s="8">
        <f t="shared" si="39"/>
        <v>2.9134121546964922</v>
      </c>
      <c r="Y60" s="9">
        <f t="shared" si="40"/>
        <v>0.27767770914656431</v>
      </c>
      <c r="Z60" s="11">
        <f t="shared" si="41"/>
        <v>40.625106657092644</v>
      </c>
      <c r="AA60" s="11">
        <f t="shared" si="42"/>
        <v>-1365.9552166872747</v>
      </c>
      <c r="AB60" s="8">
        <f t="shared" si="43"/>
        <v>7.9279180332371304</v>
      </c>
      <c r="AC60" s="9">
        <f t="shared" si="44"/>
        <v>-0.65787033924695704</v>
      </c>
      <c r="AD60" s="11">
        <f t="shared" si="45"/>
        <v>-4199.8442457525734</v>
      </c>
    </row>
    <row r="61" spans="1:30" x14ac:dyDescent="0.25">
      <c r="I61" s="1"/>
      <c r="J61" s="1"/>
      <c r="O61" s="6">
        <f t="shared" si="15"/>
        <v>64</v>
      </c>
      <c r="P61" s="7">
        <f t="shared" si="31"/>
        <v>9.682299546142209E-2</v>
      </c>
      <c r="Q61" s="8">
        <f t="shared" si="32"/>
        <v>13.883919518631515</v>
      </c>
      <c r="R61" s="9">
        <f t="shared" si="33"/>
        <v>0.10923908516117346</v>
      </c>
      <c r="S61" s="9">
        <f t="shared" si="34"/>
        <v>3.8645616210821417E-2</v>
      </c>
      <c r="T61" s="8">
        <f t="shared" si="35"/>
        <v>3.219315751313796</v>
      </c>
      <c r="U61" s="8">
        <f t="shared" si="36"/>
        <v>1.1385999999999998</v>
      </c>
      <c r="V61" s="8">
        <f t="shared" si="37"/>
        <v>-0.22865008256195563</v>
      </c>
      <c r="W61" s="10">
        <f t="shared" si="38"/>
        <v>2.8603488302341979</v>
      </c>
      <c r="X61" s="8">
        <f t="shared" si="39"/>
        <v>2.8266876264890479</v>
      </c>
      <c r="Y61" s="9">
        <f t="shared" si="40"/>
        <v>0.27368836323040707</v>
      </c>
      <c r="Z61" s="11">
        <f t="shared" si="41"/>
        <v>41.625106657092644</v>
      </c>
      <c r="AA61" s="11">
        <f t="shared" si="42"/>
        <v>-1482.8720021084696</v>
      </c>
      <c r="AB61" s="8">
        <f t="shared" si="43"/>
        <v>8.1815954306221439</v>
      </c>
      <c r="AC61" s="9">
        <f t="shared" si="44"/>
        <v>-0.68721124087932506</v>
      </c>
      <c r="AD61" s="11">
        <f t="shared" si="45"/>
        <v>-4456.7939675160487</v>
      </c>
    </row>
    <row r="62" spans="1:30" x14ac:dyDescent="0.25">
      <c r="I62" s="1"/>
      <c r="J62" s="1"/>
      <c r="O62" s="6">
        <f t="shared" si="15"/>
        <v>65</v>
      </c>
      <c r="P62" s="7">
        <f t="shared" si="31"/>
        <v>9.8335854765506811E-2</v>
      </c>
      <c r="Q62" s="8">
        <f t="shared" si="32"/>
        <v>14.321181632377479</v>
      </c>
      <c r="R62" s="9">
        <f t="shared" si="33"/>
        <v>0.10590373794560154</v>
      </c>
      <c r="S62" s="9">
        <f t="shared" si="34"/>
        <v>3.8599933902825213E-2</v>
      </c>
      <c r="T62" s="8">
        <f t="shared" si="35"/>
        <v>3.3167799865207512</v>
      </c>
      <c r="U62" s="8">
        <f t="shared" si="36"/>
        <v>1.1003999999999998</v>
      </c>
      <c r="V62" s="8">
        <f t="shared" si="37"/>
        <v>-0.24355824027700562</v>
      </c>
      <c r="W62" s="10">
        <f t="shared" si="38"/>
        <v>2.9050417807066071</v>
      </c>
      <c r="X62" s="8">
        <f t="shared" si="39"/>
        <v>2.7436248521101798</v>
      </c>
      <c r="Y62" s="9">
        <f t="shared" si="40"/>
        <v>0.26979669498814174</v>
      </c>
      <c r="Z62" s="11">
        <f t="shared" si="41"/>
        <v>42.625106657092644</v>
      </c>
      <c r="AA62" s="11">
        <f t="shared" si="42"/>
        <v>-1604.2369426245436</v>
      </c>
      <c r="AB62" s="8">
        <f t="shared" si="43"/>
        <v>8.4392677476510141</v>
      </c>
      <c r="AC62" s="9">
        <f t="shared" si="44"/>
        <v>-0.7169927450986181</v>
      </c>
      <c r="AD62" s="11">
        <f t="shared" si="45"/>
        <v>-4722.5922143828975</v>
      </c>
    </row>
    <row r="63" spans="1:30" x14ac:dyDescent="0.25">
      <c r="I63" s="1"/>
      <c r="J63" s="1"/>
      <c r="O63" s="6">
        <f t="shared" si="15"/>
        <v>66</v>
      </c>
      <c r="P63" s="7">
        <f t="shared" si="31"/>
        <v>9.9848714069591532E-2</v>
      </c>
      <c r="Q63" s="8">
        <f t="shared" si="32"/>
        <v>14.765223003700898</v>
      </c>
      <c r="R63" s="9">
        <f t="shared" si="33"/>
        <v>0.10271884591831187</v>
      </c>
      <c r="S63" s="9">
        <f t="shared" si="34"/>
        <v>3.8557634312946718E-2</v>
      </c>
      <c r="T63" s="8">
        <f t="shared" si="35"/>
        <v>3.4158724147548476</v>
      </c>
      <c r="U63" s="8">
        <f t="shared" si="36"/>
        <v>1.0617999999999999</v>
      </c>
      <c r="V63" s="8">
        <f t="shared" si="37"/>
        <v>-0.25868927634668659</v>
      </c>
      <c r="W63" s="10">
        <f t="shared" si="38"/>
        <v>2.9497347311790167</v>
      </c>
      <c r="X63" s="8">
        <f t="shared" si="39"/>
        <v>2.6640339260601729</v>
      </c>
      <c r="Y63" s="9">
        <f t="shared" si="40"/>
        <v>0.26600036175487357</v>
      </c>
      <c r="Z63" s="11">
        <f t="shared" si="41"/>
        <v>43.625106657092644</v>
      </c>
      <c r="AA63" s="11">
        <f t="shared" si="42"/>
        <v>-1730.1138802066398</v>
      </c>
      <c r="AB63" s="8">
        <f t="shared" si="43"/>
        <v>8.7009349843237462</v>
      </c>
      <c r="AC63" s="9">
        <f t="shared" si="44"/>
        <v>-0.74721485190483594</v>
      </c>
      <c r="AD63" s="11">
        <f t="shared" si="45"/>
        <v>-4997.3729295395433</v>
      </c>
    </row>
    <row r="64" spans="1:30" x14ac:dyDescent="0.25">
      <c r="I64" s="1"/>
      <c r="J64" s="1"/>
      <c r="O64" s="6">
        <f t="shared" si="15"/>
        <v>67</v>
      </c>
      <c r="P64" s="7">
        <f t="shared" si="31"/>
        <v>0.10136157337367625</v>
      </c>
      <c r="Q64" s="8">
        <f t="shared" si="32"/>
        <v>15.216043632601776</v>
      </c>
      <c r="R64" s="9">
        <f t="shared" si="33"/>
        <v>9.9675494056619851E-2</v>
      </c>
      <c r="S64" s="9">
        <f t="shared" si="34"/>
        <v>3.851842126025163E-2</v>
      </c>
      <c r="T64" s="8">
        <f t="shared" si="35"/>
        <v>3.5165878713295484</v>
      </c>
      <c r="U64" s="8">
        <f t="shared" si="36"/>
        <v>1.0227999999999997</v>
      </c>
      <c r="V64" s="8">
        <f t="shared" si="37"/>
        <v>-0.27404262322302736</v>
      </c>
      <c r="W64" s="10">
        <f t="shared" si="38"/>
        <v>2.9944276816514259</v>
      </c>
      <c r="X64" s="8">
        <f t="shared" si="39"/>
        <v>2.5877357065897746</v>
      </c>
      <c r="Y64" s="9">
        <f t="shared" si="40"/>
        <v>0.26229696269518138</v>
      </c>
      <c r="Z64" s="11">
        <f t="shared" si="41"/>
        <v>44.625106657092644</v>
      </c>
      <c r="AA64" s="11">
        <f t="shared" si="42"/>
        <v>-1860.5667166022072</v>
      </c>
      <c r="AB64" s="8">
        <f t="shared" si="43"/>
        <v>8.9665971406403333</v>
      </c>
      <c r="AC64" s="9">
        <f t="shared" si="44"/>
        <v>-0.77787756129797869</v>
      </c>
      <c r="AD64" s="11">
        <f t="shared" si="45"/>
        <v>-5281.2700561724096</v>
      </c>
    </row>
    <row r="65" spans="9:30" x14ac:dyDescent="0.25">
      <c r="I65" s="1"/>
      <c r="J65" s="1"/>
      <c r="O65" s="6">
        <f t="shared" si="15"/>
        <v>68</v>
      </c>
      <c r="P65" s="7">
        <f t="shared" si="31"/>
        <v>0.10287443267776097</v>
      </c>
      <c r="Q65" s="8">
        <f t="shared" si="32"/>
        <v>15.673643519080109</v>
      </c>
      <c r="R65" s="9">
        <f t="shared" si="33"/>
        <v>9.6765417997440858E-2</v>
      </c>
      <c r="S65" s="9">
        <f t="shared" si="34"/>
        <v>3.8482028381973239E-2</v>
      </c>
      <c r="T65" s="8">
        <f t="shared" si="35"/>
        <v>3.6189215685010305</v>
      </c>
      <c r="U65" s="8">
        <f t="shared" si="36"/>
        <v>0.98339999999999983</v>
      </c>
      <c r="V65" s="8">
        <f t="shared" si="37"/>
        <v>-0.28961775478033308</v>
      </c>
      <c r="W65" s="10">
        <f t="shared" si="38"/>
        <v>3.0391206321238351</v>
      </c>
      <c r="X65" s="8">
        <f t="shared" si="39"/>
        <v>2.5145612657665999</v>
      </c>
      <c r="Y65" s="9">
        <f t="shared" si="40"/>
        <v>0.25868406364921148</v>
      </c>
      <c r="Z65" s="11">
        <f t="shared" si="41"/>
        <v>45.625106657092644</v>
      </c>
      <c r="AA65" s="11">
        <f t="shared" si="42"/>
        <v>-1995.6594089396817</v>
      </c>
      <c r="AB65" s="8">
        <f t="shared" si="43"/>
        <v>9.2362542166007788</v>
      </c>
      <c r="AC65" s="9">
        <f t="shared" si="44"/>
        <v>-0.80898087327804635</v>
      </c>
      <c r="AD65" s="11">
        <f t="shared" si="45"/>
        <v>-5574.4175374679244</v>
      </c>
    </row>
    <row r="66" spans="9:30" x14ac:dyDescent="0.25">
      <c r="I66" s="1"/>
      <c r="J66" s="1"/>
      <c r="O66" s="6">
        <f t="shared" si="15"/>
        <v>69</v>
      </c>
      <c r="P66" s="7">
        <f t="shared" si="31"/>
        <v>0.1043872919818457</v>
      </c>
      <c r="Q66" s="8">
        <f t="shared" si="32"/>
        <v>16.138022663135899</v>
      </c>
      <c r="R66" s="9">
        <f t="shared" si="33"/>
        <v>9.3980947872330703E-2</v>
      </c>
      <c r="S66" s="9">
        <f t="shared" si="34"/>
        <v>3.844821575151456E-2</v>
      </c>
      <c r="T66" s="8">
        <f t="shared" si="35"/>
        <v>3.7228690629304833</v>
      </c>
      <c r="U66" s="8">
        <f t="shared" si="36"/>
        <v>0.94359999999999999</v>
      </c>
      <c r="V66" s="8">
        <f t="shared" si="37"/>
        <v>-0.30541418273961357</v>
      </c>
      <c r="W66" s="10">
        <f t="shared" si="38"/>
        <v>3.0838135825962447</v>
      </c>
      <c r="X66" s="8">
        <f t="shared" si="39"/>
        <v>2.4443513446687986</v>
      </c>
      <c r="Y66" s="9">
        <f t="shared" si="40"/>
        <v>0.25515921752215903</v>
      </c>
      <c r="Z66" s="11">
        <f t="shared" si="41"/>
        <v>46.625106657092644</v>
      </c>
      <c r="AA66" s="11">
        <f t="shared" si="42"/>
        <v>-2135.4559657153782</v>
      </c>
      <c r="AB66" s="8">
        <f t="shared" si="43"/>
        <v>9.5099062122050864</v>
      </c>
      <c r="AC66" s="9">
        <f t="shared" si="44"/>
        <v>-0.84052478784503881</v>
      </c>
      <c r="AD66" s="11">
        <f t="shared" si="45"/>
        <v>-5876.9493166125112</v>
      </c>
    </row>
    <row r="67" spans="9:30" x14ac:dyDescent="0.25">
      <c r="I67" s="1"/>
      <c r="J67" s="1"/>
      <c r="O67" s="6">
        <f t="shared" si="15"/>
        <v>70</v>
      </c>
      <c r="P67" s="7">
        <f t="shared" si="13"/>
        <v>0.1059001512859304</v>
      </c>
      <c r="Q67" s="8">
        <f t="shared" si="14"/>
        <v>16.609181064769146</v>
      </c>
      <c r="R67" s="9">
        <f t="shared" si="3"/>
        <v>9.1314957718401327E-2</v>
      </c>
      <c r="S67" s="9">
        <f t="shared" si="4"/>
        <v>3.8416766921934201E-2</v>
      </c>
      <c r="T67" s="8">
        <f t="shared" si="5"/>
        <v>3.8284262263766351</v>
      </c>
      <c r="U67" s="8">
        <f t="shared" si="6"/>
        <v>0.90339999999999976</v>
      </c>
      <c r="V67" s="8">
        <f t="shared" si="7"/>
        <v>-0.32143145344798196</v>
      </c>
      <c r="W67" s="10">
        <f t="shared" si="8"/>
        <v>3.1285065330686535</v>
      </c>
      <c r="X67" s="8">
        <f t="shared" si="9"/>
        <v>2.3769558199408158</v>
      </c>
      <c r="Y67" s="9">
        <f t="shared" si="10"/>
        <v>0.25171998093170517</v>
      </c>
      <c r="Z67" s="11">
        <f t="shared" si="11"/>
        <v>47.625106657092644</v>
      </c>
      <c r="AA67" s="11">
        <f t="shared" si="12"/>
        <v>-2280.0204431243519</v>
      </c>
      <c r="AB67" s="8">
        <f t="shared" si="0"/>
        <v>9.7875531274532452</v>
      </c>
      <c r="AC67" s="9">
        <f t="shared" si="1"/>
        <v>-0.87250930499895651</v>
      </c>
      <c r="AD67" s="11">
        <f t="shared" si="2"/>
        <v>-6188.9993367925981</v>
      </c>
    </row>
    <row r="68" spans="9:30" x14ac:dyDescent="0.25">
      <c r="I68" s="1"/>
      <c r="J68" s="1"/>
      <c r="O68" s="6">
        <f t="shared" si="15"/>
        <v>71</v>
      </c>
      <c r="P68" s="7">
        <f t="shared" si="13"/>
        <v>0.10741301059001512</v>
      </c>
      <c r="Q68" s="8">
        <f t="shared" si="14"/>
        <v>17.087118723979849</v>
      </c>
      <c r="R68" s="9">
        <f t="shared" si="3"/>
        <v>8.8760819841334368E-2</v>
      </c>
      <c r="S68" s="9">
        <f t="shared" si="4"/>
        <v>3.8387486336261697E-2</v>
      </c>
      <c r="T68" s="8">
        <f t="shared" si="5"/>
        <v>3.9355892192571469</v>
      </c>
      <c r="U68" s="8">
        <f t="shared" si="6"/>
        <v>0.86280000000000001</v>
      </c>
      <c r="V68" s="8">
        <f t="shared" si="7"/>
        <v>-0.33766914497331285</v>
      </c>
      <c r="W68" s="10">
        <f t="shared" si="8"/>
        <v>3.1731994835410631</v>
      </c>
      <c r="X68" s="8">
        <f t="shared" si="9"/>
        <v>2.312233186195598</v>
      </c>
      <c r="Y68" s="9">
        <f t="shared" si="10"/>
        <v>0.24836392771541219</v>
      </c>
      <c r="Z68" s="11">
        <f t="shared" si="11"/>
        <v>48.625106657092644</v>
      </c>
      <c r="AA68" s="11">
        <f t="shared" si="12"/>
        <v>-2429.4169417013281</v>
      </c>
      <c r="AB68" s="8">
        <f t="shared" si="0"/>
        <v>10.06919496234527</v>
      </c>
      <c r="AC68" s="9">
        <f t="shared" si="1"/>
        <v>-0.90493442473979868</v>
      </c>
      <c r="AD68" s="11">
        <f t="shared" si="2"/>
        <v>-6510.7015411946059</v>
      </c>
    </row>
    <row r="69" spans="9:30" x14ac:dyDescent="0.25">
      <c r="I69" s="1"/>
      <c r="J69" s="1"/>
    </row>
    <row r="70" spans="9:30" x14ac:dyDescent="0.25">
      <c r="I70" s="1"/>
      <c r="J70" s="1"/>
    </row>
    <row r="71" spans="9:30" ht="15.75" thickBot="1" x14ac:dyDescent="0.3">
      <c r="I71" s="1"/>
      <c r="J71" s="1"/>
    </row>
    <row r="72" spans="9:30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5"/>
    </row>
    <row r="73" spans="9:30" x14ac:dyDescent="0.25">
      <c r="I73" s="1"/>
      <c r="J73" s="1"/>
      <c r="O73" s="26" t="s">
        <v>26</v>
      </c>
      <c r="P73" s="21" t="s">
        <v>27</v>
      </c>
      <c r="Q73" s="21" t="s">
        <v>4</v>
      </c>
      <c r="R73" s="21" t="s">
        <v>5</v>
      </c>
      <c r="S73" s="21" t="s">
        <v>6</v>
      </c>
      <c r="T73" s="21" t="s">
        <v>10</v>
      </c>
      <c r="U73" s="21" t="s">
        <v>30</v>
      </c>
      <c r="V73" s="21" t="s">
        <v>21</v>
      </c>
      <c r="W73" s="21" t="s">
        <v>0</v>
      </c>
      <c r="X73" s="21" t="s">
        <v>13</v>
      </c>
      <c r="Y73" s="21" t="s">
        <v>22</v>
      </c>
      <c r="Z73" s="21" t="s">
        <v>1</v>
      </c>
      <c r="AA73" s="27" t="s">
        <v>28</v>
      </c>
    </row>
    <row r="74" spans="9:30" x14ac:dyDescent="0.25">
      <c r="I74" s="1"/>
      <c r="J74" s="1"/>
      <c r="O74" s="12">
        <v>0</v>
      </c>
      <c r="P74" s="11">
        <v>0.1</v>
      </c>
      <c r="Q74" s="7">
        <f t="shared" ref="Q74:Q79" si="46">Z74/661</f>
        <v>2.2782466756907396E-2</v>
      </c>
      <c r="R74" s="8">
        <f t="shared" ref="R74" si="47">1481*Q74^2</f>
        <v>0.76869941225532368</v>
      </c>
      <c r="S74" s="6">
        <f>$U$11</f>
        <v>0</v>
      </c>
      <c r="T74" s="7">
        <f t="shared" ref="T74:T99" si="48">IF(S74&lt;$P$8,S74^2/(PI()*$P$12)+$P$11,99.999)</f>
        <v>3.7885926522012496E-2</v>
      </c>
      <c r="U74" s="22">
        <f>S74*R74*$P$13</f>
        <v>0</v>
      </c>
      <c r="V74" s="8">
        <f>IF(T74="","",R74*T74*$P$13+$U$12*($P$10-U74))</f>
        <v>0.62973733670131637</v>
      </c>
      <c r="W74" s="8">
        <f>$P$9*($G$28*Z74^2+$G$29*Z74+$G$30)</f>
        <v>2.519309825138504</v>
      </c>
      <c r="X74" s="9">
        <f>IF(T74="","",(W74-V74)/$P$10)</f>
        <v>0.20764532839969096</v>
      </c>
      <c r="Y74" s="10">
        <f>Q74/$U$9</f>
        <v>0.67304055020621689</v>
      </c>
      <c r="Z74" s="8">
        <f>P74*3600/6080+$P$14</f>
        <v>15.059210526315789</v>
      </c>
      <c r="AA74" s="13">
        <v>0</v>
      </c>
    </row>
    <row r="75" spans="9:30" x14ac:dyDescent="0.25">
      <c r="I75" s="1"/>
      <c r="J75" s="1"/>
      <c r="O75" s="12">
        <f>O74+0.5</f>
        <v>0.5</v>
      </c>
      <c r="P75" s="11">
        <f>P74+32.2*X74*(O75-O74)</f>
        <v>3.4430897872350248</v>
      </c>
      <c r="Q75" s="7">
        <f t="shared" si="46"/>
        <v>2.5777112835925951E-2</v>
      </c>
      <c r="R75" s="8">
        <f t="shared" ref="R75:R79" si="49">1481*Q75^2</f>
        <v>0.98406458785712259</v>
      </c>
      <c r="S75" s="6">
        <f t="shared" ref="S75:S134" si="50">$U$11</f>
        <v>0</v>
      </c>
      <c r="T75" s="7">
        <f t="shared" si="48"/>
        <v>3.7885926522012496E-2</v>
      </c>
      <c r="U75" s="22">
        <f t="shared" ref="U75:U89" si="51">S75*R75*$P$13</f>
        <v>0</v>
      </c>
      <c r="V75" s="8">
        <f t="shared" ref="V75:V99" si="52">IF(T75="","",R75*T75*$P$13+$U$12*($P$10-U75))</f>
        <v>0.67869319201081679</v>
      </c>
      <c r="W75" s="8">
        <f t="shared" ref="W75:W99" si="53">$P$9*($G$28*Z75^2+$G$29*Z75+$G$30)</f>
        <v>2.4820572064784061</v>
      </c>
      <c r="X75" s="9">
        <f>IF(T75="","",(W75-V75)/$P$10)</f>
        <v>0.19817186972171311</v>
      </c>
      <c r="Y75" s="10">
        <f t="shared" ref="Y75:Y89" si="54">Q75/$U$9</f>
        <v>0.76150850524380986</v>
      </c>
      <c r="Z75" s="8">
        <f t="shared" ref="Z75:Z99" si="55">P75*3600/6080+$P$14</f>
        <v>17.038671584547053</v>
      </c>
      <c r="AA75" s="13">
        <f>AA74+(P75+P74)/2*(O75-O74)</f>
        <v>0.88577244680875622</v>
      </c>
    </row>
    <row r="76" spans="9:30" x14ac:dyDescent="0.25">
      <c r="I76" s="1"/>
      <c r="J76" s="1"/>
      <c r="O76" s="12">
        <f t="shared" ref="O76:O89" si="56">O75+0.5</f>
        <v>1</v>
      </c>
      <c r="P76" s="11">
        <f t="shared" ref="P76:P89" si="57">P75+32.2*X75*(O76-O75)</f>
        <v>6.6336568897546062</v>
      </c>
      <c r="Q76" s="7">
        <f t="shared" si="46"/>
        <v>2.8635133371266764E-2</v>
      </c>
      <c r="R76" s="8">
        <f t="shared" si="49"/>
        <v>1.2143768483847388</v>
      </c>
      <c r="S76" s="6">
        <f t="shared" si="50"/>
        <v>0</v>
      </c>
      <c r="T76" s="7">
        <f t="shared" si="48"/>
        <v>3.7885926522012496E-2</v>
      </c>
      <c r="U76" s="22">
        <f t="shared" si="51"/>
        <v>0</v>
      </c>
      <c r="V76" s="8">
        <f t="shared" si="52"/>
        <v>0.73104675228762406</v>
      </c>
      <c r="W76" s="8">
        <f t="shared" si="53"/>
        <v>2.4450424949325607</v>
      </c>
      <c r="X76" s="9">
        <f t="shared" ref="X76:X89" si="58">IF(T76="","",(W76-V76)/$P$10)</f>
        <v>0.18835118051043259</v>
      </c>
      <c r="Y76" s="10">
        <f t="shared" si="54"/>
        <v>0.84594026296922142</v>
      </c>
      <c r="Z76" s="8">
        <f t="shared" si="55"/>
        <v>18.927823158407332</v>
      </c>
      <c r="AA76" s="13">
        <f t="shared" ref="AA76:AA89" si="59">AA75+(P76+P75)/2*(O76-O75)</f>
        <v>3.4049591160561636</v>
      </c>
    </row>
    <row r="77" spans="9:30" x14ac:dyDescent="0.25">
      <c r="I77" s="1"/>
      <c r="J77" s="1"/>
      <c r="O77" s="12">
        <f t="shared" si="56"/>
        <v>1.5</v>
      </c>
      <c r="P77" s="11">
        <f t="shared" si="57"/>
        <v>9.6661108959725706</v>
      </c>
      <c r="Q77" s="7">
        <f t="shared" si="46"/>
        <v>3.1351520629006403E-2</v>
      </c>
      <c r="R77" s="8">
        <f t="shared" si="49"/>
        <v>1.4557013295572516</v>
      </c>
      <c r="S77" s="6">
        <f t="shared" si="50"/>
        <v>0</v>
      </c>
      <c r="T77" s="7">
        <f t="shared" si="48"/>
        <v>3.7885926522012496E-2</v>
      </c>
      <c r="U77" s="22">
        <f t="shared" si="51"/>
        <v>0</v>
      </c>
      <c r="V77" s="8">
        <f t="shared" si="52"/>
        <v>0.78590356165761155</v>
      </c>
      <c r="W77" s="8">
        <f t="shared" si="53"/>
        <v>2.4085389066997358</v>
      </c>
      <c r="X77" s="9">
        <f t="shared" si="58"/>
        <v>0.17831157637825543</v>
      </c>
      <c r="Y77" s="10">
        <f t="shared" si="54"/>
        <v>0.92618788470526281</v>
      </c>
      <c r="Z77" s="8">
        <f t="shared" si="55"/>
        <v>20.723355135773232</v>
      </c>
      <c r="AA77" s="13">
        <f t="shared" si="59"/>
        <v>7.4799010624879578</v>
      </c>
    </row>
    <row r="78" spans="9:30" x14ac:dyDescent="0.25">
      <c r="I78" s="1"/>
      <c r="J78" s="1"/>
      <c r="O78" s="12">
        <f t="shared" si="56"/>
        <v>2</v>
      </c>
      <c r="P78" s="11">
        <f t="shared" si="57"/>
        <v>12.536927275662483</v>
      </c>
      <c r="Q78" s="7">
        <f t="shared" si="46"/>
        <v>3.3923117433808658E-2</v>
      </c>
      <c r="R78" s="8">
        <f t="shared" si="49"/>
        <v>1.7043020646098277</v>
      </c>
      <c r="S78" s="6">
        <f t="shared" si="50"/>
        <v>0</v>
      </c>
      <c r="T78" s="7">
        <f t="shared" si="48"/>
        <v>3.7885926522012496E-2</v>
      </c>
      <c r="U78" s="22">
        <f t="shared" si="51"/>
        <v>0</v>
      </c>
      <c r="V78" s="8">
        <f t="shared" si="52"/>
        <v>0.8424143767467327</v>
      </c>
      <c r="W78" s="8">
        <f t="shared" si="53"/>
        <v>2.3727927544084895</v>
      </c>
      <c r="X78" s="9">
        <f t="shared" si="58"/>
        <v>0.16817344809469856</v>
      </c>
      <c r="Y78" s="10">
        <f t="shared" si="54"/>
        <v>1.0021581010510368</v>
      </c>
      <c r="Z78" s="8">
        <f t="shared" si="55"/>
        <v>22.423180623747523</v>
      </c>
      <c r="AA78" s="13">
        <f t="shared" si="59"/>
        <v>13.030660605396722</v>
      </c>
    </row>
    <row r="79" spans="9:30" x14ac:dyDescent="0.25">
      <c r="I79" s="1"/>
      <c r="J79" s="1"/>
      <c r="O79" s="12">
        <f t="shared" si="56"/>
        <v>2.5</v>
      </c>
      <c r="P79" s="11">
        <f t="shared" si="57"/>
        <v>15.24451978998713</v>
      </c>
      <c r="Q79" s="7">
        <f t="shared" si="46"/>
        <v>3.6348502877407061E-2</v>
      </c>
      <c r="R79" s="8">
        <f t="shared" si="49"/>
        <v>1.9567174325761556</v>
      </c>
      <c r="S79" s="6">
        <f t="shared" si="50"/>
        <v>0</v>
      </c>
      <c r="T79" s="7">
        <f t="shared" si="48"/>
        <v>3.7885926522012496E-2</v>
      </c>
      <c r="U79" s="22">
        <f t="shared" si="51"/>
        <v>0</v>
      </c>
      <c r="V79" s="8">
        <f t="shared" si="52"/>
        <v>0.89979231724952702</v>
      </c>
      <c r="W79" s="8">
        <f t="shared" si="53"/>
        <v>2.3380199321825881</v>
      </c>
      <c r="X79" s="9">
        <f t="shared" si="58"/>
        <v>0.15804699065198474</v>
      </c>
      <c r="Y79" s="10">
        <f t="shared" si="54"/>
        <v>1.0738089354773264</v>
      </c>
      <c r="Z79" s="8">
        <f t="shared" si="55"/>
        <v>24.026360401966066</v>
      </c>
      <c r="AA79" s="13">
        <f t="shared" si="59"/>
        <v>19.976022371809126</v>
      </c>
    </row>
    <row r="80" spans="9:30" x14ac:dyDescent="0.25">
      <c r="I80" s="1"/>
      <c r="J80" s="1"/>
      <c r="O80" s="12">
        <f t="shared" si="56"/>
        <v>3</v>
      </c>
      <c r="P80" s="11">
        <f t="shared" si="57"/>
        <v>17.789076339484083</v>
      </c>
      <c r="Q80" s="7">
        <f t="shared" ref="Q80:Q89" si="60">Z80/661</f>
        <v>3.8627845275833739E-2</v>
      </c>
      <c r="R80" s="8">
        <f t="shared" ref="R80:R89" si="61">1481*Q80^2</f>
        <v>2.2098155477982053</v>
      </c>
      <c r="S80" s="6">
        <f t="shared" si="50"/>
        <v>0</v>
      </c>
      <c r="T80" s="7">
        <f t="shared" si="48"/>
        <v>3.7885926522012496E-2</v>
      </c>
      <c r="U80" s="22">
        <f t="shared" si="51"/>
        <v>0</v>
      </c>
      <c r="V80" s="8">
        <f t="shared" si="52"/>
        <v>0.95732545682650172</v>
      </c>
      <c r="W80" s="8">
        <f t="shared" si="53"/>
        <v>2.3044038526868227</v>
      </c>
      <c r="X80" s="9">
        <f t="shared" si="58"/>
        <v>0.14803059295168364</v>
      </c>
      <c r="Y80" s="10">
        <f t="shared" si="54"/>
        <v>1.1411453603831294</v>
      </c>
      <c r="Z80" s="8">
        <f t="shared" si="55"/>
        <v>25.533005727326099</v>
      </c>
      <c r="AA80" s="13">
        <f t="shared" si="59"/>
        <v>28.234421404176928</v>
      </c>
    </row>
    <row r="81" spans="9:27" x14ac:dyDescent="0.25">
      <c r="I81" s="1"/>
      <c r="J81" s="1"/>
      <c r="O81" s="12">
        <f t="shared" si="56"/>
        <v>3.5</v>
      </c>
      <c r="P81" s="11">
        <f t="shared" si="57"/>
        <v>20.17236888600619</v>
      </c>
      <c r="Q81" s="7">
        <f t="shared" si="60"/>
        <v>4.0762731902824235E-2</v>
      </c>
      <c r="R81" s="8">
        <f t="shared" si="61"/>
        <v>2.4608300623408379</v>
      </c>
      <c r="S81" s="6">
        <f t="shared" si="50"/>
        <v>0</v>
      </c>
      <c r="T81" s="7">
        <f t="shared" si="48"/>
        <v>3.7885926522012496E-2</v>
      </c>
      <c r="U81" s="22">
        <f t="shared" si="51"/>
        <v>0</v>
      </c>
      <c r="V81" s="8">
        <f t="shared" si="52"/>
        <v>1.0143849615500264</v>
      </c>
      <c r="W81" s="8">
        <f t="shared" si="53"/>
        <v>2.2720947302319585</v>
      </c>
      <c r="X81" s="9">
        <f t="shared" si="58"/>
        <v>0.1382098646903222</v>
      </c>
      <c r="Y81" s="10">
        <f t="shared" si="54"/>
        <v>1.2042142670730487</v>
      </c>
      <c r="Z81" s="8">
        <f t="shared" si="55"/>
        <v>26.944165787766821</v>
      </c>
      <c r="AA81" s="13">
        <f t="shared" si="59"/>
        <v>37.724782710549498</v>
      </c>
    </row>
    <row r="82" spans="9:27" x14ac:dyDescent="0.25">
      <c r="I82" s="1"/>
      <c r="J82" s="1"/>
      <c r="O82" s="12">
        <f t="shared" si="56"/>
        <v>4</v>
      </c>
      <c r="P82" s="11">
        <f t="shared" si="57"/>
        <v>22.397547707520378</v>
      </c>
      <c r="Q82" s="7">
        <f t="shared" si="60"/>
        <v>4.2755984689036089E-2</v>
      </c>
      <c r="R82" s="8">
        <f t="shared" si="61"/>
        <v>2.7073779297857801</v>
      </c>
      <c r="S82" s="6">
        <f t="shared" si="50"/>
        <v>0</v>
      </c>
      <c r="T82" s="7">
        <f t="shared" si="48"/>
        <v>3.7885926522012496E-2</v>
      </c>
      <c r="U82" s="22">
        <f t="shared" si="51"/>
        <v>0</v>
      </c>
      <c r="V82" s="8">
        <f t="shared" si="52"/>
        <v>1.0704291278910942</v>
      </c>
      <c r="W82" s="8">
        <f t="shared" si="53"/>
        <v>2.2412100432514444</v>
      </c>
      <c r="X82" s="9">
        <f t="shared" si="58"/>
        <v>0.12865724344619234</v>
      </c>
      <c r="Y82" s="10">
        <f t="shared" si="54"/>
        <v>1.2630990211361863</v>
      </c>
      <c r="Z82" s="8">
        <f t="shared" si="55"/>
        <v>28.261705879452855</v>
      </c>
      <c r="AA82" s="13">
        <f t="shared" si="59"/>
        <v>48.367261858931144</v>
      </c>
    </row>
    <row r="83" spans="9:27" x14ac:dyDescent="0.25">
      <c r="I83" s="1"/>
      <c r="J83" s="1"/>
      <c r="O83" s="12">
        <f t="shared" si="56"/>
        <v>4.5</v>
      </c>
      <c r="P83" s="11">
        <f t="shared" si="57"/>
        <v>24.468929327004076</v>
      </c>
      <c r="Q83" s="7">
        <f t="shared" si="60"/>
        <v>4.4611470254701475E-2</v>
      </c>
      <c r="R83" s="8">
        <f t="shared" si="61"/>
        <v>2.9474614351417356</v>
      </c>
      <c r="S83" s="6">
        <f t="shared" si="50"/>
        <v>0</v>
      </c>
      <c r="T83" s="7">
        <f t="shared" si="48"/>
        <v>3.7885926522012496E-2</v>
      </c>
      <c r="U83" s="22">
        <f t="shared" si="51"/>
        <v>0</v>
      </c>
      <c r="V83" s="8">
        <f t="shared" si="52"/>
        <v>1.1250038441494719</v>
      </c>
      <c r="W83" s="8">
        <f t="shared" si="53"/>
        <v>2.2118359715779552</v>
      </c>
      <c r="X83" s="9">
        <f t="shared" si="58"/>
        <v>0.11943210191521796</v>
      </c>
      <c r="Y83" s="10">
        <f t="shared" si="54"/>
        <v>1.3179138504231203</v>
      </c>
      <c r="Z83" s="8">
        <f t="shared" si="55"/>
        <v>29.488181838357676</v>
      </c>
      <c r="AA83" s="13">
        <f t="shared" si="59"/>
        <v>60.083881117562257</v>
      </c>
    </row>
    <row r="84" spans="9:27" x14ac:dyDescent="0.25">
      <c r="I84" s="1"/>
      <c r="J84" s="1"/>
      <c r="O84" s="12">
        <f t="shared" si="56"/>
        <v>5</v>
      </c>
      <c r="P84" s="11">
        <f t="shared" si="57"/>
        <v>26.391786167839086</v>
      </c>
      <c r="Q84" s="7">
        <f t="shared" si="60"/>
        <v>4.6333911488827914E-2</v>
      </c>
      <c r="R84" s="8">
        <f t="shared" si="61"/>
        <v>3.1794572350585728</v>
      </c>
      <c r="S84" s="6">
        <f t="shared" si="50"/>
        <v>0</v>
      </c>
      <c r="T84" s="7">
        <f t="shared" si="48"/>
        <v>3.7885926522012496E-2</v>
      </c>
      <c r="U84" s="22">
        <f t="shared" si="51"/>
        <v>0</v>
      </c>
      <c r="V84" s="8">
        <f t="shared" si="52"/>
        <v>1.1777400991238607</v>
      </c>
      <c r="W84" s="8">
        <f t="shared" si="53"/>
        <v>2.1840295874814748</v>
      </c>
      <c r="X84" s="9">
        <f t="shared" si="58"/>
        <v>0.11058126245688067</v>
      </c>
      <c r="Y84" s="10">
        <f t="shared" si="54"/>
        <v>1.3687982787110646</v>
      </c>
      <c r="Z84" s="8">
        <f t="shared" si="55"/>
        <v>30.626715494115249</v>
      </c>
      <c r="AA84" s="13">
        <f t="shared" si="59"/>
        <v>72.799059991273054</v>
      </c>
    </row>
    <row r="85" spans="9:27" x14ac:dyDescent="0.25">
      <c r="I85" s="1"/>
      <c r="J85" s="1"/>
      <c r="O85" s="12">
        <f t="shared" si="56"/>
        <v>5.5</v>
      </c>
      <c r="P85" s="11">
        <f t="shared" si="57"/>
        <v>28.172144493394864</v>
      </c>
      <c r="Q85" s="7">
        <f t="shared" si="60"/>
        <v>4.792870654914342E-2</v>
      </c>
      <c r="R85" s="8">
        <f t="shared" si="61"/>
        <v>3.4020953098928506</v>
      </c>
      <c r="S85" s="6">
        <f t="shared" si="50"/>
        <v>0</v>
      </c>
      <c r="T85" s="7">
        <f t="shared" si="48"/>
        <v>3.7885926522012496E-2</v>
      </c>
      <c r="U85" s="22">
        <f t="shared" si="51"/>
        <v>0</v>
      </c>
      <c r="V85" s="8">
        <f t="shared" si="52"/>
        <v>1.2283491975889032</v>
      </c>
      <c r="W85" s="8">
        <f t="shared" si="53"/>
        <v>2.1578215811201829</v>
      </c>
      <c r="X85" s="9">
        <f t="shared" si="58"/>
        <v>0.10213982236607469</v>
      </c>
      <c r="Y85" s="10">
        <f t="shared" si="54"/>
        <v>1.4159117785929629</v>
      </c>
      <c r="Z85" s="8">
        <f t="shared" si="55"/>
        <v>31.680875028983802</v>
      </c>
      <c r="AA85" s="13">
        <f t="shared" si="59"/>
        <v>86.440042656581539</v>
      </c>
    </row>
    <row r="86" spans="9:27" x14ac:dyDescent="0.25">
      <c r="I86" s="1"/>
      <c r="J86" s="1"/>
      <c r="O86" s="12">
        <f t="shared" si="56"/>
        <v>6</v>
      </c>
      <c r="P86" s="11">
        <f t="shared" si="57"/>
        <v>29.816595633488667</v>
      </c>
      <c r="Q86" s="7">
        <f t="shared" si="60"/>
        <v>4.940175976405347E-2</v>
      </c>
      <c r="R86" s="8">
        <f t="shared" si="61"/>
        <v>3.614430658189959</v>
      </c>
      <c r="S86" s="6">
        <f t="shared" si="50"/>
        <v>0</v>
      </c>
      <c r="T86" s="7">
        <f t="shared" si="48"/>
        <v>3.7885926522012496E-2</v>
      </c>
      <c r="U86" s="22">
        <f t="shared" si="51"/>
        <v>0</v>
      </c>
      <c r="V86" s="8">
        <f t="shared" si="52"/>
        <v>1.2766163260105643</v>
      </c>
      <c r="W86" s="8">
        <f t="shared" si="53"/>
        <v>2.1332193166605919</v>
      </c>
      <c r="X86" s="9">
        <f t="shared" si="58"/>
        <v>9.4132196774728311E-2</v>
      </c>
      <c r="Y86" s="10">
        <f t="shared" si="54"/>
        <v>1.4594287759762907</v>
      </c>
      <c r="Z86" s="8">
        <f t="shared" si="55"/>
        <v>32.654563204039341</v>
      </c>
      <c r="AA86" s="13">
        <f t="shared" si="59"/>
        <v>100.93722768830241</v>
      </c>
    </row>
    <row r="87" spans="9:27" x14ac:dyDescent="0.25">
      <c r="I87" s="1"/>
      <c r="J87" s="1"/>
      <c r="O87" s="12">
        <f t="shared" si="56"/>
        <v>6.5</v>
      </c>
      <c r="P87" s="11">
        <f t="shared" si="57"/>
        <v>31.332124001561795</v>
      </c>
      <c r="Q87" s="7">
        <f t="shared" si="60"/>
        <v>5.0759327575250437E-2</v>
      </c>
      <c r="R87" s="8">
        <f t="shared" si="61"/>
        <v>3.8158103264554293</v>
      </c>
      <c r="S87" s="6">
        <f t="shared" si="50"/>
        <v>0</v>
      </c>
      <c r="T87" s="7">
        <f t="shared" si="48"/>
        <v>3.7885926522012496E-2</v>
      </c>
      <c r="U87" s="22">
        <f>S87*R87*$P$13</f>
        <v>0</v>
      </c>
      <c r="V87" s="8">
        <f t="shared" si="52"/>
        <v>1.3223930579001615</v>
      </c>
      <c r="W87" s="8">
        <f t="shared" si="53"/>
        <v>2.1102100403528001</v>
      </c>
      <c r="X87" s="9">
        <f t="shared" si="58"/>
        <v>8.6573294775015242E-2</v>
      </c>
      <c r="Y87" s="10">
        <f t="shared" si="54"/>
        <v>1.4995340989134234</v>
      </c>
      <c r="Z87" s="8">
        <f t="shared" si="55"/>
        <v>33.551915527240538</v>
      </c>
      <c r="AA87" s="13">
        <f t="shared" si="59"/>
        <v>116.22440759706502</v>
      </c>
    </row>
    <row r="88" spans="9:27" x14ac:dyDescent="0.25">
      <c r="I88" s="1"/>
      <c r="J88" s="1"/>
      <c r="O88" s="12">
        <f t="shared" si="56"/>
        <v>7</v>
      </c>
      <c r="P88" s="11">
        <f t="shared" si="57"/>
        <v>32.725954047439544</v>
      </c>
      <c r="Q88" s="7">
        <f t="shared" si="60"/>
        <v>5.2007881442287997E-2</v>
      </c>
      <c r="R88" s="8">
        <f t="shared" si="61"/>
        <v>4.0058380232624398</v>
      </c>
      <c r="S88" s="6">
        <f t="shared" si="50"/>
        <v>0</v>
      </c>
      <c r="T88" s="7">
        <f t="shared" si="48"/>
        <v>3.7885926522012496E-2</v>
      </c>
      <c r="U88" s="22">
        <f t="shared" si="51"/>
        <v>0</v>
      </c>
      <c r="V88" s="8">
        <f t="shared" si="52"/>
        <v>1.3655893100504275</v>
      </c>
      <c r="W88" s="8">
        <f t="shared" si="53"/>
        <v>2.0887640921113397</v>
      </c>
      <c r="X88" s="9">
        <f t="shared" si="58"/>
        <v>7.9469756270429917E-2</v>
      </c>
      <c r="Y88" s="10">
        <f t="shared" si="54"/>
        <v>1.5364189275230504</v>
      </c>
      <c r="Z88" s="8">
        <f t="shared" si="55"/>
        <v>34.377209633352365</v>
      </c>
      <c r="AA88" s="13">
        <f t="shared" si="59"/>
        <v>132.23892710931537</v>
      </c>
    </row>
    <row r="89" spans="9:27" x14ac:dyDescent="0.25">
      <c r="I89" s="1"/>
      <c r="J89" s="1"/>
      <c r="O89" s="12">
        <f t="shared" si="56"/>
        <v>7.5</v>
      </c>
      <c r="P89" s="11">
        <f t="shared" si="57"/>
        <v>34.005417123393464</v>
      </c>
      <c r="Q89" s="7">
        <f t="shared" si="60"/>
        <v>5.3153988584933233E-2</v>
      </c>
      <c r="R89" s="8">
        <f t="shared" si="61"/>
        <v>4.1843381701835618</v>
      </c>
      <c r="S89" s="6">
        <f t="shared" si="50"/>
        <v>0</v>
      </c>
      <c r="T89" s="7">
        <f t="shared" si="48"/>
        <v>3.7885926522012496E-2</v>
      </c>
      <c r="U89" s="22">
        <f t="shared" si="51"/>
        <v>0</v>
      </c>
      <c r="V89" s="8">
        <f t="shared" si="52"/>
        <v>1.4061651707529599</v>
      </c>
      <c r="W89" s="8">
        <f t="shared" si="53"/>
        <v>2.0688380041198098</v>
      </c>
      <c r="X89" s="9">
        <f t="shared" si="58"/>
        <v>7.2821190479873621E-2</v>
      </c>
      <c r="Y89" s="10">
        <f t="shared" si="54"/>
        <v>1.5702772708759427</v>
      </c>
      <c r="Z89" s="8">
        <f t="shared" si="55"/>
        <v>35.134786454640867</v>
      </c>
      <c r="AA89" s="13">
        <f t="shared" si="59"/>
        <v>148.92176990202361</v>
      </c>
    </row>
    <row r="90" spans="9:27" x14ac:dyDescent="0.25">
      <c r="I90" s="1"/>
      <c r="J90" s="1"/>
      <c r="O90" s="12">
        <f t="shared" ref="O90:O134" si="62">O89+0.5</f>
        <v>8</v>
      </c>
      <c r="P90" s="11">
        <f t="shared" ref="P90:P99" si="63">P89+32.2*X89*(O90-O89)</f>
        <v>35.177838290119432</v>
      </c>
      <c r="Q90" s="7">
        <f t="shared" ref="Q90:Q99" si="64">Z90/661</f>
        <v>5.420421058713621E-2</v>
      </c>
      <c r="R90" s="8">
        <f t="shared" ref="R90:R99" si="65">1481*Q90^2</f>
        <v>4.3513208355997968</v>
      </c>
      <c r="S90" s="6">
        <f t="shared" si="50"/>
        <v>0</v>
      </c>
      <c r="T90" s="7">
        <f t="shared" si="48"/>
        <v>3.7885926522012496E-2</v>
      </c>
      <c r="U90" s="22">
        <f t="shared" ref="U90:U99" si="66">S90*R90*$P$13</f>
        <v>0</v>
      </c>
      <c r="V90" s="8">
        <f t="shared" si="52"/>
        <v>1.4441229287074155</v>
      </c>
      <c r="W90" s="8">
        <f t="shared" si="53"/>
        <v>2.0503774009416924</v>
      </c>
      <c r="X90" s="9">
        <f t="shared" ref="X90:X99" si="67">IF(T90="","",(W90-V90)/$P$10)</f>
        <v>6.6621370575195266E-2</v>
      </c>
      <c r="Y90" s="10">
        <f t="shared" ref="Y90:Y99" si="68">Q90/$U$9</f>
        <v>1.6013029715493372</v>
      </c>
      <c r="Z90" s="8">
        <f t="shared" si="55"/>
        <v>35.828983198097035</v>
      </c>
      <c r="AA90" s="13">
        <f t="shared" ref="AA90:AA99" si="69">AA89+(P90+P89)/2*(O90-O89)</f>
        <v>166.21758375540185</v>
      </c>
    </row>
    <row r="91" spans="9:27" x14ac:dyDescent="0.25">
      <c r="I91" s="1"/>
      <c r="J91" s="1"/>
      <c r="O91" s="12">
        <f t="shared" si="62"/>
        <v>8.5</v>
      </c>
      <c r="P91" s="11">
        <f t="shared" si="63"/>
        <v>36.250442356380077</v>
      </c>
      <c r="Q91" s="7">
        <f t="shared" si="64"/>
        <v>5.5165019229976575E-2</v>
      </c>
      <c r="R91" s="8">
        <f t="shared" si="65"/>
        <v>4.5069486123792979</v>
      </c>
      <c r="S91" s="6">
        <f t="shared" si="50"/>
        <v>0</v>
      </c>
      <c r="T91" s="7">
        <f t="shared" si="48"/>
        <v>3.7885926522012496E-2</v>
      </c>
      <c r="U91" s="22">
        <f t="shared" si="66"/>
        <v>0</v>
      </c>
      <c r="V91" s="8">
        <f t="shared" si="52"/>
        <v>1.4794995438025298</v>
      </c>
      <c r="W91" s="8">
        <f t="shared" si="53"/>
        <v>2.0333196437204384</v>
      </c>
      <c r="X91" s="9">
        <f t="shared" si="67"/>
        <v>6.0859351639330615E-2</v>
      </c>
      <c r="Y91" s="10">
        <f t="shared" si="68"/>
        <v>1.629687219160457</v>
      </c>
      <c r="Z91" s="8">
        <f t="shared" si="55"/>
        <v>36.464077711014518</v>
      </c>
      <c r="AA91" s="13">
        <f t="shared" si="69"/>
        <v>184.07465391702672</v>
      </c>
    </row>
    <row r="92" spans="9:27" x14ac:dyDescent="0.25">
      <c r="I92" s="1"/>
      <c r="J92" s="1"/>
      <c r="O92" s="12">
        <f t="shared" si="62"/>
        <v>9</v>
      </c>
      <c r="P92" s="11">
        <f t="shared" si="63"/>
        <v>37.2302779177733</v>
      </c>
      <c r="Q92" s="7">
        <f t="shared" si="64"/>
        <v>5.6042728447722713E-2</v>
      </c>
      <c r="R92" s="8">
        <f t="shared" si="65"/>
        <v>4.6515061569723439</v>
      </c>
      <c r="S92" s="6">
        <f t="shared" si="50"/>
        <v>0</v>
      </c>
      <c r="T92" s="7">
        <f t="shared" si="48"/>
        <v>3.7885926522012496E-2</v>
      </c>
      <c r="U92" s="22">
        <f t="shared" si="66"/>
        <v>0</v>
      </c>
      <c r="V92" s="8">
        <f t="shared" si="52"/>
        <v>1.5123597228784578</v>
      </c>
      <c r="W92" s="8">
        <f t="shared" si="53"/>
        <v>2.0175961851951754</v>
      </c>
      <c r="X92" s="9">
        <f t="shared" si="67"/>
        <v>5.5520490364474463E-2</v>
      </c>
      <c r="Y92" s="10">
        <f t="shared" si="68"/>
        <v>1.6556165402096725</v>
      </c>
      <c r="Z92" s="8">
        <f t="shared" si="55"/>
        <v>37.044243503944713</v>
      </c>
      <c r="AA92" s="13">
        <f t="shared" si="69"/>
        <v>202.44483398556508</v>
      </c>
    </row>
    <row r="93" spans="9:27" x14ac:dyDescent="0.25">
      <c r="I93" s="1"/>
      <c r="J93" s="1"/>
      <c r="O93" s="12">
        <f t="shared" si="62"/>
        <v>9.5</v>
      </c>
      <c r="P93" s="11">
        <f t="shared" si="63"/>
        <v>38.124157812641336</v>
      </c>
      <c r="Q93" s="7">
        <f t="shared" si="64"/>
        <v>5.6843440989904855E-2</v>
      </c>
      <c r="R93" s="8">
        <f t="shared" si="65"/>
        <v>4.7853728164713099</v>
      </c>
      <c r="S93" s="6">
        <f t="shared" si="50"/>
        <v>0</v>
      </c>
      <c r="T93" s="7">
        <f t="shared" si="48"/>
        <v>3.7885926522012496E-2</v>
      </c>
      <c r="U93" s="22">
        <f t="shared" si="66"/>
        <v>0</v>
      </c>
      <c r="V93" s="8">
        <f t="shared" si="52"/>
        <v>1.5427896974316082</v>
      </c>
      <c r="W93" s="8">
        <f t="shared" si="53"/>
        <v>2.0031346219792621</v>
      </c>
      <c r="X93" s="9">
        <f t="shared" si="67"/>
        <v>5.0587354345896028E-2</v>
      </c>
      <c r="Y93" s="10">
        <f t="shared" si="68"/>
        <v>1.679271222369316</v>
      </c>
      <c r="Z93" s="8">
        <f t="shared" si="55"/>
        <v>37.573514494327107</v>
      </c>
      <c r="AA93" s="13">
        <f t="shared" si="69"/>
        <v>221.28344291816873</v>
      </c>
    </row>
    <row r="94" spans="9:27" x14ac:dyDescent="0.25">
      <c r="I94" s="1"/>
      <c r="J94" s="1"/>
      <c r="O94" s="12">
        <f t="shared" si="62"/>
        <v>10</v>
      </c>
      <c r="P94" s="11">
        <f t="shared" si="63"/>
        <v>38.938614217610265</v>
      </c>
      <c r="Q94" s="7">
        <f t="shared" si="64"/>
        <v>5.7573008197158645E-2</v>
      </c>
      <c r="R94" s="8">
        <f t="shared" si="65"/>
        <v>4.9089985351206131</v>
      </c>
      <c r="S94" s="6">
        <f t="shared" si="50"/>
        <v>0</v>
      </c>
      <c r="T94" s="7">
        <f t="shared" si="48"/>
        <v>3.7885926522012496E-2</v>
      </c>
      <c r="U94" s="22">
        <f t="shared" si="66"/>
        <v>0</v>
      </c>
      <c r="V94" s="8">
        <f t="shared" si="52"/>
        <v>1.5708917467894792</v>
      </c>
      <c r="W94" s="8">
        <f t="shared" si="53"/>
        <v>1.9898604458540736</v>
      </c>
      <c r="X94" s="9">
        <f t="shared" si="67"/>
        <v>4.6040516380724664E-2</v>
      </c>
      <c r="Y94" s="10">
        <f t="shared" si="68"/>
        <v>1.7008241261800339</v>
      </c>
      <c r="Z94" s="8">
        <f t="shared" si="55"/>
        <v>38.055758418321865</v>
      </c>
      <c r="AA94" s="13">
        <f t="shared" si="69"/>
        <v>240.54913592573163</v>
      </c>
    </row>
    <row r="95" spans="9:27" x14ac:dyDescent="0.25">
      <c r="I95" s="1"/>
      <c r="J95" s="1"/>
      <c r="O95" s="12">
        <f t="shared" si="62"/>
        <v>10.5</v>
      </c>
      <c r="P95" s="11">
        <f t="shared" si="63"/>
        <v>39.679866531339933</v>
      </c>
      <c r="Q95" s="7">
        <f t="shared" si="64"/>
        <v>5.8237001232389063E-2</v>
      </c>
      <c r="R95" s="8">
        <f t="shared" si="65"/>
        <v>5.0228830508736433</v>
      </c>
      <c r="S95" s="6">
        <f t="shared" si="50"/>
        <v>0</v>
      </c>
      <c r="T95" s="7">
        <f t="shared" si="48"/>
        <v>3.7885926522012496E-2</v>
      </c>
      <c r="U95" s="22">
        <f t="shared" si="66"/>
        <v>0</v>
      </c>
      <c r="V95" s="8">
        <f t="shared" si="52"/>
        <v>1.5967794691643649</v>
      </c>
      <c r="W95" s="8">
        <f t="shared" si="53"/>
        <v>1.977698507046076</v>
      </c>
      <c r="X95" s="9">
        <f t="shared" si="67"/>
        <v>4.185923493205617E-2</v>
      </c>
      <c r="Y95" s="10">
        <f t="shared" si="68"/>
        <v>1.7204398351606729</v>
      </c>
      <c r="Z95" s="8">
        <f t="shared" si="55"/>
        <v>38.49465781460917</v>
      </c>
      <c r="AA95" s="13">
        <f t="shared" si="69"/>
        <v>260.20375611296919</v>
      </c>
    </row>
    <row r="96" spans="9:27" x14ac:dyDescent="0.25">
      <c r="I96" s="1"/>
      <c r="J96" s="1"/>
      <c r="O96" s="12">
        <f t="shared" si="62"/>
        <v>11</v>
      </c>
      <c r="P96" s="11">
        <f t="shared" si="63"/>
        <v>40.353800213746034</v>
      </c>
      <c r="Q96" s="7">
        <f t="shared" si="64"/>
        <v>5.8840692125538885E-2</v>
      </c>
      <c r="R96" s="8">
        <f t="shared" si="65"/>
        <v>5.1275582607722443</v>
      </c>
      <c r="S96" s="6">
        <f t="shared" si="50"/>
        <v>0</v>
      </c>
      <c r="T96" s="7">
        <f t="shared" si="48"/>
        <v>3.7885926522012496E-2</v>
      </c>
      <c r="U96" s="22">
        <f t="shared" si="66"/>
        <v>0</v>
      </c>
      <c r="V96" s="8">
        <f t="shared" si="52"/>
        <v>1.6205737730297327</v>
      </c>
      <c r="W96" s="8">
        <f t="shared" si="53"/>
        <v>1.9665742100960115</v>
      </c>
      <c r="X96" s="9">
        <f t="shared" si="67"/>
        <v>3.802202605123943E-2</v>
      </c>
      <c r="Y96" s="10">
        <f t="shared" si="68"/>
        <v>1.7382740958320662</v>
      </c>
      <c r="Z96" s="8">
        <f t="shared" si="55"/>
        <v>38.893697494981204</v>
      </c>
      <c r="AA96" s="13">
        <f t="shared" si="69"/>
        <v>280.2121727992407</v>
      </c>
    </row>
    <row r="97" spans="9:27" x14ac:dyDescent="0.25">
      <c r="I97" s="1"/>
      <c r="J97" s="1"/>
      <c r="O97" s="12">
        <f t="shared" si="62"/>
        <v>11.5</v>
      </c>
      <c r="P97" s="11">
        <f t="shared" si="63"/>
        <v>40.96595483317099</v>
      </c>
      <c r="Q97" s="7">
        <f t="shared" si="64"/>
        <v>5.9389043066579633E-2</v>
      </c>
      <c r="R97" s="8">
        <f t="shared" si="65"/>
        <v>5.2235735442551583</v>
      </c>
      <c r="S97" s="6">
        <f t="shared" si="50"/>
        <v>0</v>
      </c>
      <c r="T97" s="7">
        <f t="shared" si="48"/>
        <v>3.7885926522012496E-2</v>
      </c>
      <c r="U97" s="22">
        <f t="shared" si="66"/>
        <v>0</v>
      </c>
      <c r="V97" s="8">
        <f t="shared" si="52"/>
        <v>1.6423995408798759</v>
      </c>
      <c r="W97" s="8">
        <f t="shared" si="53"/>
        <v>1.956414467594163</v>
      </c>
      <c r="X97" s="9">
        <f t="shared" si="67"/>
        <v>3.4507134803767818E-2</v>
      </c>
      <c r="Y97" s="10">
        <f t="shared" si="68"/>
        <v>1.7544735014101416</v>
      </c>
      <c r="Z97" s="8">
        <f t="shared" si="55"/>
        <v>39.256157467009139</v>
      </c>
      <c r="AA97" s="13">
        <f t="shared" si="69"/>
        <v>300.54211156096994</v>
      </c>
    </row>
    <row r="98" spans="9:27" x14ac:dyDescent="0.25">
      <c r="I98" s="1"/>
      <c r="J98" s="1"/>
      <c r="O98" s="12">
        <f t="shared" si="62"/>
        <v>12</v>
      </c>
      <c r="P98" s="11">
        <f t="shared" si="63"/>
        <v>41.52151970351165</v>
      </c>
      <c r="Q98" s="7">
        <f t="shared" si="64"/>
        <v>5.9886702497372879E-2</v>
      </c>
      <c r="R98" s="8">
        <f t="shared" si="65"/>
        <v>5.3114837784291025</v>
      </c>
      <c r="S98" s="6">
        <f t="shared" si="50"/>
        <v>0</v>
      </c>
      <c r="T98" s="7">
        <f t="shared" si="48"/>
        <v>3.7885926522012496E-2</v>
      </c>
      <c r="U98" s="22">
        <f t="shared" si="66"/>
        <v>0</v>
      </c>
      <c r="V98" s="8">
        <f t="shared" si="52"/>
        <v>1.6623829049145578</v>
      </c>
      <c r="W98" s="8">
        <f t="shared" si="53"/>
        <v>1.9471484393541085</v>
      </c>
      <c r="X98" s="9">
        <f t="shared" si="67"/>
        <v>3.1292915872478108E-2</v>
      </c>
      <c r="Y98" s="10">
        <f t="shared" si="68"/>
        <v>1.7691753763515303</v>
      </c>
      <c r="Z98" s="8">
        <f t="shared" si="55"/>
        <v>39.585110350763472</v>
      </c>
      <c r="AA98" s="13">
        <f t="shared" si="69"/>
        <v>321.1639801951406</v>
      </c>
    </row>
    <row r="99" spans="9:27" ht="15.75" thickBot="1" x14ac:dyDescent="0.3">
      <c r="I99" s="1"/>
      <c r="J99" s="1"/>
      <c r="O99" s="14">
        <f t="shared" si="62"/>
        <v>12.5</v>
      </c>
      <c r="P99" s="20">
        <f t="shared" si="63"/>
        <v>42.025335649058547</v>
      </c>
      <c r="Q99" s="15">
        <f t="shared" si="64"/>
        <v>6.0338006692563791E-2</v>
      </c>
      <c r="R99" s="16">
        <f t="shared" si="65"/>
        <v>5.3918397514668035</v>
      </c>
      <c r="S99" s="28">
        <f t="shared" si="50"/>
        <v>0</v>
      </c>
      <c r="T99" s="15">
        <f t="shared" si="48"/>
        <v>3.7885926522012496E-2</v>
      </c>
      <c r="U99" s="29">
        <f t="shared" si="66"/>
        <v>0</v>
      </c>
      <c r="V99" s="8">
        <f t="shared" si="52"/>
        <v>1.6806490678552246</v>
      </c>
      <c r="W99" s="8">
        <f t="shared" si="53"/>
        <v>1.9387080850982601</v>
      </c>
      <c r="X99" s="17">
        <f t="shared" si="67"/>
        <v>2.8358133762970934E-2</v>
      </c>
      <c r="Y99" s="18">
        <f t="shared" si="68"/>
        <v>1.7825078230563882</v>
      </c>
      <c r="Z99" s="8">
        <f t="shared" si="55"/>
        <v>39.883422423784666</v>
      </c>
      <c r="AA99" s="19">
        <f t="shared" si="69"/>
        <v>342.05069403328315</v>
      </c>
    </row>
    <row r="100" spans="9:27" ht="15.75" thickBot="1" x14ac:dyDescent="0.3">
      <c r="I100" s="1"/>
      <c r="J100" s="1"/>
      <c r="O100" s="14">
        <f t="shared" si="62"/>
        <v>13</v>
      </c>
      <c r="P100" s="20">
        <f t="shared" ref="P100:P111" si="70">P99+32.2*X99*(O100-O99)</f>
        <v>42.481901602642381</v>
      </c>
      <c r="Q100" s="15">
        <f t="shared" ref="Q100:Q111" si="71">Z100/661</f>
        <v>6.0746985670015671E-2</v>
      </c>
      <c r="R100" s="16">
        <f t="shared" ref="R100:R111" si="72">1481*Q100^2</f>
        <v>5.4651806728977652</v>
      </c>
      <c r="S100" s="28">
        <f t="shared" si="50"/>
        <v>0</v>
      </c>
      <c r="T100" s="15">
        <f t="shared" ref="T100:T111" si="73">IF(S100&lt;$P$8,S100^2/(PI()*$P$12)+$P$11,99.999)</f>
        <v>3.7885926522012496E-2</v>
      </c>
      <c r="U100" s="29">
        <f t="shared" ref="U100:U111" si="74">S100*R100*$P$13</f>
        <v>0</v>
      </c>
      <c r="V100" s="8">
        <f t="shared" ref="V100:V111" si="75">IF(T100="","",R100*T100*$P$13+$U$12*($P$10-U100))</f>
        <v>1.6973206004175654</v>
      </c>
      <c r="W100" s="8">
        <f t="shared" ref="W100:W111" si="76">$P$9*($G$28*Z100^2+$G$29*Z100+$G$30)</f>
        <v>1.9310285579327218</v>
      </c>
      <c r="X100" s="17">
        <f t="shared" ref="X100:X111" si="77">IF(T100="","",(W100-V100)/$P$10)</f>
        <v>2.5682193133533669E-2</v>
      </c>
      <c r="Y100" s="18">
        <f t="shared" ref="Y100:Y111" si="78">Q100/$U$9</f>
        <v>1.7945898964746905</v>
      </c>
      <c r="Z100" s="8">
        <f t="shared" ref="Z100:Z111" si="79">P100*3600/6080+$P$14</f>
        <v>40.153757527880359</v>
      </c>
      <c r="AA100" s="19">
        <f t="shared" ref="AA100:AA111" si="80">AA99+(P100+P99)/2*(O100-O99)</f>
        <v>363.17750334620837</v>
      </c>
    </row>
    <row r="101" spans="9:27" ht="15.75" thickBot="1" x14ac:dyDescent="0.3">
      <c r="I101" s="1"/>
      <c r="J101" s="1"/>
      <c r="O101" s="14">
        <f t="shared" si="62"/>
        <v>13.5</v>
      </c>
      <c r="P101" s="20">
        <f t="shared" si="70"/>
        <v>42.895384912092275</v>
      </c>
      <c r="Q101" s="15">
        <f t="shared" si="71"/>
        <v>6.1117372423046275E-2</v>
      </c>
      <c r="R101" s="16">
        <f t="shared" si="72"/>
        <v>5.5320284868199563</v>
      </c>
      <c r="S101" s="28">
        <f t="shared" si="50"/>
        <v>0</v>
      </c>
      <c r="T101" s="15">
        <f t="shared" si="73"/>
        <v>3.7885926522012496E-2</v>
      </c>
      <c r="U101" s="29">
        <f t="shared" si="74"/>
        <v>0</v>
      </c>
      <c r="V101" s="8">
        <f t="shared" si="75"/>
        <v>1.7125161486160452</v>
      </c>
      <c r="W101" s="8">
        <f t="shared" si="76"/>
        <v>1.924048464216664</v>
      </c>
      <c r="X101" s="17">
        <f t="shared" si="77"/>
        <v>2.3245309406661408E-2</v>
      </c>
      <c r="Y101" s="18">
        <f t="shared" si="78"/>
        <v>1.8055318768453295</v>
      </c>
      <c r="Z101" s="8">
        <f t="shared" si="79"/>
        <v>40.398583171633589</v>
      </c>
      <c r="AA101" s="19">
        <f t="shared" si="80"/>
        <v>384.52182497489201</v>
      </c>
    </row>
    <row r="102" spans="9:27" ht="15.75" thickBot="1" x14ac:dyDescent="0.3">
      <c r="I102" s="1"/>
      <c r="J102" s="1"/>
      <c r="O102" s="14">
        <f t="shared" si="62"/>
        <v>14</v>
      </c>
      <c r="P102" s="20">
        <f t="shared" si="70"/>
        <v>43.269634393539526</v>
      </c>
      <c r="Q102" s="15">
        <f t="shared" si="71"/>
        <v>6.1452614613211221E-2</v>
      </c>
      <c r="R102" s="16">
        <f t="shared" si="72"/>
        <v>5.5928837111865946</v>
      </c>
      <c r="S102" s="28">
        <f t="shared" si="50"/>
        <v>0</v>
      </c>
      <c r="T102" s="15">
        <f t="shared" si="73"/>
        <v>3.7885926522012496E-2</v>
      </c>
      <c r="U102" s="29">
        <f t="shared" si="74"/>
        <v>0</v>
      </c>
      <c r="V102" s="8">
        <f t="shared" si="75"/>
        <v>1.7263494879690553</v>
      </c>
      <c r="W102" s="8">
        <f t="shared" si="76"/>
        <v>1.9177100132202836</v>
      </c>
      <c r="X102" s="17">
        <f t="shared" si="77"/>
        <v>2.1028629148486622E-2</v>
      </c>
      <c r="Y102" s="18">
        <f t="shared" si="78"/>
        <v>1.8154356151247912</v>
      </c>
      <c r="Z102" s="8">
        <f t="shared" si="79"/>
        <v>40.620178259332619</v>
      </c>
      <c r="AA102" s="19">
        <f t="shared" si="80"/>
        <v>406.06307980129998</v>
      </c>
    </row>
    <row r="103" spans="9:27" ht="15.75" thickBot="1" x14ac:dyDescent="0.3">
      <c r="I103" s="1"/>
      <c r="J103" s="1"/>
      <c r="O103" s="14">
        <f t="shared" si="62"/>
        <v>14.5</v>
      </c>
      <c r="P103" s="20">
        <f t="shared" si="70"/>
        <v>43.608195322830163</v>
      </c>
      <c r="Q103" s="15">
        <f t="shared" si="71"/>
        <v>6.1755887999190955E-2</v>
      </c>
      <c r="R103" s="16">
        <f t="shared" si="72"/>
        <v>5.6482225495041218</v>
      </c>
      <c r="S103" s="28">
        <f t="shared" si="50"/>
        <v>0</v>
      </c>
      <c r="T103" s="15">
        <f t="shared" si="73"/>
        <v>3.7885926522012496E-2</v>
      </c>
      <c r="U103" s="29">
        <f t="shared" si="74"/>
        <v>0</v>
      </c>
      <c r="V103" s="8">
        <f t="shared" si="75"/>
        <v>1.7389288669429237</v>
      </c>
      <c r="W103" s="8">
        <f t="shared" si="76"/>
        <v>1.9119590774762345</v>
      </c>
      <c r="X103" s="17">
        <f t="shared" si="77"/>
        <v>1.9014308849814376E-2</v>
      </c>
      <c r="Y103" s="18">
        <f t="shared" si="78"/>
        <v>1.8243949297038773</v>
      </c>
      <c r="Z103" s="8">
        <f t="shared" si="79"/>
        <v>40.820641967465221</v>
      </c>
      <c r="AA103" s="19">
        <f t="shared" si="80"/>
        <v>427.78253723039239</v>
      </c>
    </row>
    <row r="104" spans="9:27" ht="15.75" thickBot="1" x14ac:dyDescent="0.3">
      <c r="I104" s="1"/>
      <c r="J104" s="1"/>
      <c r="O104" s="14">
        <f t="shared" si="62"/>
        <v>15</v>
      </c>
      <c r="P104" s="20">
        <f t="shared" si="70"/>
        <v>43.914325695312172</v>
      </c>
      <c r="Q104" s="15">
        <f t="shared" si="71"/>
        <v>6.2030111001852212E-2</v>
      </c>
      <c r="R104" s="16">
        <f t="shared" si="72"/>
        <v>5.6984950476060199</v>
      </c>
      <c r="S104" s="28">
        <f t="shared" si="50"/>
        <v>0</v>
      </c>
      <c r="T104" s="15">
        <f t="shared" si="73"/>
        <v>3.7885926522012496E-2</v>
      </c>
      <c r="U104" s="29">
        <f t="shared" si="74"/>
        <v>0</v>
      </c>
      <c r="V104" s="8">
        <f t="shared" si="75"/>
        <v>1.7503565879579226</v>
      </c>
      <c r="W104" s="8">
        <f t="shared" si="76"/>
        <v>1.9067451821553745</v>
      </c>
      <c r="X104" s="17">
        <f t="shared" si="77"/>
        <v>1.7185559801917789E-2</v>
      </c>
      <c r="Y104" s="18">
        <f t="shared" si="78"/>
        <v>1.8324960366893346</v>
      </c>
      <c r="Z104" s="8">
        <f t="shared" si="79"/>
        <v>41.001903372224312</v>
      </c>
      <c r="AA104" s="19">
        <f t="shared" si="80"/>
        <v>449.66316748492795</v>
      </c>
    </row>
    <row r="105" spans="9:27" ht="15.75" thickBot="1" x14ac:dyDescent="0.3">
      <c r="I105" s="1"/>
      <c r="J105" s="1"/>
      <c r="O105" s="14">
        <f t="shared" si="62"/>
        <v>15.5</v>
      </c>
      <c r="P105" s="20">
        <f t="shared" si="70"/>
        <v>44.191013208123046</v>
      </c>
      <c r="Q105" s="15">
        <f t="shared" si="71"/>
        <v>6.2277959916504838E-2</v>
      </c>
      <c r="R105" s="16">
        <f t="shared" si="72"/>
        <v>5.7441240955068009</v>
      </c>
      <c r="S105" s="28">
        <f t="shared" si="50"/>
        <v>0</v>
      </c>
      <c r="T105" s="15">
        <f t="shared" si="73"/>
        <v>3.7885926522012496E-2</v>
      </c>
      <c r="U105" s="29">
        <f t="shared" si="74"/>
        <v>0</v>
      </c>
      <c r="V105" s="8">
        <f t="shared" si="75"/>
        <v>1.7607287804941532</v>
      </c>
      <c r="W105" s="8">
        <f t="shared" si="76"/>
        <v>1.9020214392751433</v>
      </c>
      <c r="X105" s="17">
        <f t="shared" si="77"/>
        <v>1.5526665800108811E-2</v>
      </c>
      <c r="Y105" s="18">
        <f t="shared" si="78"/>
        <v>1.8398179993049606</v>
      </c>
      <c r="Z105" s="8">
        <f t="shared" si="79"/>
        <v>41.165731504809699</v>
      </c>
      <c r="AA105" s="19">
        <f t="shared" si="80"/>
        <v>471.68950221078677</v>
      </c>
    </row>
    <row r="106" spans="9:27" ht="15.75" thickBot="1" x14ac:dyDescent="0.3">
      <c r="I106" s="1"/>
      <c r="J106" s="1"/>
      <c r="O106" s="14">
        <f t="shared" si="62"/>
        <v>16</v>
      </c>
      <c r="P106" s="20">
        <f t="shared" si="70"/>
        <v>44.440992527504797</v>
      </c>
      <c r="Q106" s="15">
        <f t="shared" si="71"/>
        <v>6.2501884380478448E-2</v>
      </c>
      <c r="R106" s="16">
        <f t="shared" si="72"/>
        <v>5.7855051011949401</v>
      </c>
      <c r="S106" s="28">
        <f t="shared" si="50"/>
        <v>0</v>
      </c>
      <c r="T106" s="15">
        <f t="shared" si="73"/>
        <v>3.7885926522012496E-2</v>
      </c>
      <c r="U106" s="29">
        <f t="shared" si="74"/>
        <v>0</v>
      </c>
      <c r="V106" s="8">
        <f t="shared" si="75"/>
        <v>1.7701353269395999</v>
      </c>
      <c r="W106" s="8">
        <f t="shared" si="76"/>
        <v>1.8977444401684789</v>
      </c>
      <c r="X106" s="17">
        <f t="shared" si="77"/>
        <v>1.4022979475700992E-2</v>
      </c>
      <c r="Y106" s="18">
        <f t="shared" si="78"/>
        <v>1.8464331848353746</v>
      </c>
      <c r="Z106" s="8">
        <f t="shared" si="79"/>
        <v>41.313745575496256</v>
      </c>
      <c r="AA106" s="19">
        <f t="shared" si="80"/>
        <v>493.84750364469375</v>
      </c>
    </row>
    <row r="107" spans="9:27" ht="15.75" thickBot="1" x14ac:dyDescent="0.3">
      <c r="I107" s="1"/>
      <c r="J107" s="1"/>
      <c r="O107" s="14">
        <f t="shared" si="62"/>
        <v>16.5</v>
      </c>
      <c r="P107" s="20">
        <f t="shared" si="70"/>
        <v>44.66676249706358</v>
      </c>
      <c r="Q107" s="15">
        <f t="shared" si="71"/>
        <v>6.2704122787798813E-2</v>
      </c>
      <c r="R107" s="16">
        <f t="shared" si="72"/>
        <v>5.8230061886038653</v>
      </c>
      <c r="S107" s="28">
        <f t="shared" si="50"/>
        <v>0</v>
      </c>
      <c r="T107" s="15">
        <f t="shared" si="73"/>
        <v>3.7885926522012496E-2</v>
      </c>
      <c r="U107" s="29">
        <f t="shared" si="74"/>
        <v>0</v>
      </c>
      <c r="V107" s="8">
        <f t="shared" si="75"/>
        <v>1.7786599075920204</v>
      </c>
      <c r="W107" s="8">
        <f t="shared" si="76"/>
        <v>1.8938741174579818</v>
      </c>
      <c r="X107" s="17">
        <f t="shared" si="77"/>
        <v>1.2660902183072685E-2</v>
      </c>
      <c r="Y107" s="18">
        <f t="shared" si="78"/>
        <v>1.8524077200070086</v>
      </c>
      <c r="Z107" s="8">
        <f t="shared" si="79"/>
        <v>41.447425162735016</v>
      </c>
      <c r="AA107" s="19">
        <f t="shared" si="80"/>
        <v>516.12444240083585</v>
      </c>
    </row>
    <row r="108" spans="9:27" ht="15.75" thickBot="1" x14ac:dyDescent="0.3">
      <c r="I108" s="1"/>
      <c r="J108" s="1"/>
      <c r="O108" s="14">
        <f t="shared" si="62"/>
        <v>17</v>
      </c>
      <c r="P108" s="20">
        <f t="shared" si="70"/>
        <v>44.87060302221105</v>
      </c>
      <c r="Q108" s="15">
        <f t="shared" si="71"/>
        <v>6.2886717413796811E-2</v>
      </c>
      <c r="R108" s="16">
        <f t="shared" si="72"/>
        <v>5.8569687953095304</v>
      </c>
      <c r="S108" s="28">
        <f t="shared" si="50"/>
        <v>0</v>
      </c>
      <c r="T108" s="15">
        <f t="shared" si="73"/>
        <v>3.7885926522012496E-2</v>
      </c>
      <c r="U108" s="29">
        <f t="shared" si="74"/>
        <v>0</v>
      </c>
      <c r="V108" s="8">
        <f t="shared" si="75"/>
        <v>1.7863801365249015</v>
      </c>
      <c r="W108" s="8">
        <f t="shared" si="76"/>
        <v>1.8903735858223125</v>
      </c>
      <c r="X108" s="17">
        <f t="shared" si="77"/>
        <v>1.1427851571144072E-2</v>
      </c>
      <c r="Y108" s="18">
        <f t="shared" si="78"/>
        <v>1.8578019377999142</v>
      </c>
      <c r="Z108" s="8">
        <f t="shared" si="79"/>
        <v>41.568120210519695</v>
      </c>
      <c r="AA108" s="19">
        <f t="shared" si="80"/>
        <v>538.50878378065454</v>
      </c>
    </row>
    <row r="109" spans="9:27" ht="15.75" thickBot="1" x14ac:dyDescent="0.3">
      <c r="I109" s="1"/>
      <c r="J109" s="1"/>
      <c r="O109" s="14">
        <f t="shared" si="62"/>
        <v>17.5</v>
      </c>
      <c r="P109" s="20">
        <f t="shared" si="70"/>
        <v>45.05459143250647</v>
      </c>
      <c r="Q109" s="15">
        <f t="shared" si="71"/>
        <v>6.3051529072035817E-2</v>
      </c>
      <c r="R109" s="16">
        <f t="shared" si="72"/>
        <v>5.8877085664345525</v>
      </c>
      <c r="S109" s="28">
        <f t="shared" si="50"/>
        <v>0</v>
      </c>
      <c r="T109" s="15">
        <f t="shared" si="73"/>
        <v>3.7885926522012496E-2</v>
      </c>
      <c r="U109" s="29">
        <f t="shared" si="74"/>
        <v>0</v>
      </c>
      <c r="V109" s="8">
        <f t="shared" si="75"/>
        <v>1.793367764785778</v>
      </c>
      <c r="W109" s="8">
        <f t="shared" si="76"/>
        <v>1.8872089691186718</v>
      </c>
      <c r="X109" s="17">
        <f t="shared" si="77"/>
        <v>1.0312220256361955E-2</v>
      </c>
      <c r="Y109" s="18">
        <f t="shared" si="78"/>
        <v>1.8626708104433012</v>
      </c>
      <c r="Z109" s="8">
        <f t="shared" si="79"/>
        <v>41.677060716615671</v>
      </c>
      <c r="AA109" s="19">
        <f t="shared" si="80"/>
        <v>560.99008239433397</v>
      </c>
    </row>
    <row r="110" spans="9:27" ht="15.75" thickBot="1" x14ac:dyDescent="0.3">
      <c r="I110" s="1"/>
      <c r="J110" s="1"/>
      <c r="O110" s="14">
        <f t="shared" si="62"/>
        <v>18</v>
      </c>
      <c r="P110" s="20">
        <f t="shared" si="70"/>
        <v>45.220618178633899</v>
      </c>
      <c r="Q110" s="15">
        <f t="shared" si="71"/>
        <v>6.320025117522346E-2</v>
      </c>
      <c r="R110" s="16">
        <f t="shared" si="72"/>
        <v>5.9155164596933858</v>
      </c>
      <c r="S110" s="28">
        <f t="shared" si="50"/>
        <v>0</v>
      </c>
      <c r="T110" s="15">
        <f t="shared" si="73"/>
        <v>3.7885926522012496E-2</v>
      </c>
      <c r="U110" s="29">
        <f t="shared" si="74"/>
        <v>0</v>
      </c>
      <c r="V110" s="8">
        <f t="shared" si="75"/>
        <v>1.7996889315901947</v>
      </c>
      <c r="W110" s="8">
        <f t="shared" si="76"/>
        <v>1.8843492199323957</v>
      </c>
      <c r="X110" s="17">
        <f t="shared" si="77"/>
        <v>9.3033283892528535E-3</v>
      </c>
      <c r="Y110" s="18">
        <f t="shared" si="78"/>
        <v>1.867064364803559</v>
      </c>
      <c r="Z110" s="8">
        <f t="shared" si="79"/>
        <v>41.775366026822709</v>
      </c>
      <c r="AA110" s="19">
        <f t="shared" si="80"/>
        <v>583.55888479711905</v>
      </c>
    </row>
    <row r="111" spans="9:27" ht="15.75" thickBot="1" x14ac:dyDescent="0.3">
      <c r="I111" s="1"/>
      <c r="J111" s="1"/>
      <c r="O111" s="14">
        <f t="shared" si="62"/>
        <v>18.5</v>
      </c>
      <c r="P111" s="20">
        <f t="shared" si="70"/>
        <v>45.370401765700869</v>
      </c>
      <c r="Q111" s="15">
        <f t="shared" si="71"/>
        <v>6.3334423112041946E-2</v>
      </c>
      <c r="R111" s="16">
        <f t="shared" si="72"/>
        <v>5.9406599925349619</v>
      </c>
      <c r="S111" s="28">
        <f t="shared" si="50"/>
        <v>0</v>
      </c>
      <c r="T111" s="15">
        <f t="shared" si="73"/>
        <v>3.7885926522012496E-2</v>
      </c>
      <c r="U111" s="29">
        <f t="shared" si="74"/>
        <v>0</v>
      </c>
      <c r="V111" s="8">
        <f t="shared" si="75"/>
        <v>1.8054044478166333</v>
      </c>
      <c r="W111" s="8">
        <f t="shared" si="76"/>
        <v>1.8817659363493116</v>
      </c>
      <c r="X111" s="17">
        <f t="shared" si="77"/>
        <v>8.3913723662283751E-3</v>
      </c>
      <c r="Y111" s="18">
        <f t="shared" si="78"/>
        <v>1.8710280775631165</v>
      </c>
      <c r="Z111" s="8">
        <f t="shared" si="79"/>
        <v>41.864053677059729</v>
      </c>
      <c r="AA111" s="19">
        <f t="shared" si="80"/>
        <v>606.20663978320272</v>
      </c>
    </row>
    <row r="112" spans="9:27" ht="15.75" thickBot="1" x14ac:dyDescent="0.3">
      <c r="I112" s="1"/>
      <c r="J112" s="1"/>
      <c r="O112" s="14">
        <f t="shared" si="62"/>
        <v>19</v>
      </c>
      <c r="P112" s="20">
        <f t="shared" ref="P112:P114" si="81">P111+32.2*X111*(O112-O111)</f>
        <v>45.505502860797144</v>
      </c>
      <c r="Q112" s="15">
        <f t="shared" ref="Q112:Q114" si="82">Z112/661</f>
        <v>6.3455442884303506E-2</v>
      </c>
      <c r="R112" s="16">
        <f t="shared" ref="R112:R114" si="83">1481*Q112^2</f>
        <v>5.9633845760634374</v>
      </c>
      <c r="S112" s="28">
        <f t="shared" si="50"/>
        <v>0</v>
      </c>
      <c r="T112" s="15">
        <f t="shared" ref="T112:T114" si="84">IF(S112&lt;$P$8,S112^2/(PI()*$P$12)+$P$11,99.999)</f>
        <v>3.7885926522012496E-2</v>
      </c>
      <c r="U112" s="29">
        <f t="shared" ref="U112:U114" si="85">S112*R112*$P$13</f>
        <v>0</v>
      </c>
      <c r="V112" s="8">
        <f t="shared" ref="V112:V114" si="86">IF(T112="","",R112*T112*$P$13+$U$12*($P$10-U112))</f>
        <v>1.8105700992274523</v>
      </c>
      <c r="W112" s="8">
        <f t="shared" ref="W112:W114" si="87">$P$9*($G$28*Z112^2+$G$29*Z112+$G$30)</f>
        <v>1.8794331796705472</v>
      </c>
      <c r="X112" s="17">
        <f t="shared" ref="X112:X114" si="88">IF(T112="","",(W112-V112)/$P$10)</f>
        <v>7.5673714772631837E-3</v>
      </c>
      <c r="Y112" s="18">
        <f t="shared" ref="Y112:Y114" si="89">Q112/$U$9</f>
        <v>1.8746032485477973</v>
      </c>
      <c r="Z112" s="8">
        <f t="shared" ref="Z112:Z114" si="90">P112*3600/6080+$P$14</f>
        <v>41.944047746524618</v>
      </c>
      <c r="AA112" s="19">
        <f t="shared" ref="AA112:AA114" si="91">AA111+(P112+P111)/2*(O112-O111)</f>
        <v>628.92561593982725</v>
      </c>
    </row>
    <row r="113" spans="9:27" ht="15.75" thickBot="1" x14ac:dyDescent="0.3">
      <c r="I113" s="1"/>
      <c r="J113" s="1"/>
      <c r="O113" s="14">
        <f t="shared" si="62"/>
        <v>19.5</v>
      </c>
      <c r="P113" s="20">
        <f t="shared" si="81"/>
        <v>45.627337541581078</v>
      </c>
      <c r="Q113" s="15">
        <f t="shared" si="82"/>
        <v>6.3564578974662569E-2</v>
      </c>
      <c r="R113" s="16">
        <f t="shared" si="83"/>
        <v>5.9839148920348766</v>
      </c>
      <c r="S113" s="28">
        <f t="shared" si="50"/>
        <v>0</v>
      </c>
      <c r="T113" s="15">
        <f t="shared" si="84"/>
        <v>3.7885926522012496E-2</v>
      </c>
      <c r="U113" s="29">
        <f t="shared" si="85"/>
        <v>0</v>
      </c>
      <c r="V113" s="8">
        <f t="shared" si="86"/>
        <v>1.8152369594816582</v>
      </c>
      <c r="W113" s="8">
        <f t="shared" si="87"/>
        <v>1.8773272958923768</v>
      </c>
      <c r="X113" s="17">
        <f t="shared" si="88"/>
        <v>6.8231138912877576E-3</v>
      </c>
      <c r="Y113" s="18">
        <f t="shared" si="89"/>
        <v>1.8778273513232506</v>
      </c>
      <c r="Z113" s="8">
        <f t="shared" si="90"/>
        <v>42.016186702251957</v>
      </c>
      <c r="AA113" s="19">
        <f t="shared" si="91"/>
        <v>651.70882604042185</v>
      </c>
    </row>
    <row r="114" spans="9:27" ht="15.75" thickBot="1" x14ac:dyDescent="0.3">
      <c r="I114" s="1"/>
      <c r="J114" s="1"/>
      <c r="O114" s="14">
        <f t="shared" si="62"/>
        <v>20</v>
      </c>
      <c r="P114" s="20">
        <f t="shared" si="81"/>
        <v>45.737189675230809</v>
      </c>
      <c r="Q114" s="15">
        <f t="shared" si="82"/>
        <v>6.3662981435332958E-2</v>
      </c>
      <c r="R114" s="16">
        <f t="shared" si="83"/>
        <v>6.0024562789538471</v>
      </c>
      <c r="S114" s="28">
        <f t="shared" si="50"/>
        <v>0</v>
      </c>
      <c r="T114" s="15">
        <f t="shared" si="84"/>
        <v>3.7885926522012496E-2</v>
      </c>
      <c r="U114" s="29">
        <f t="shared" si="85"/>
        <v>0</v>
      </c>
      <c r="V114" s="8">
        <f t="shared" si="86"/>
        <v>1.819451705216228</v>
      </c>
      <c r="W114" s="8">
        <f t="shared" si="87"/>
        <v>1.8754267430340927</v>
      </c>
      <c r="X114" s="17">
        <f t="shared" si="88"/>
        <v>6.1511030569082114E-3</v>
      </c>
      <c r="Y114" s="18">
        <f t="shared" si="89"/>
        <v>1.8807343607782809</v>
      </c>
      <c r="Z114" s="8">
        <f t="shared" si="90"/>
        <v>42.081230728755081</v>
      </c>
      <c r="AA114" s="19">
        <f t="shared" si="91"/>
        <v>674.54995784462483</v>
      </c>
    </row>
    <row r="115" spans="9:27" ht="15.75" thickBot="1" x14ac:dyDescent="0.3">
      <c r="I115" s="1"/>
      <c r="J115" s="1"/>
      <c r="O115" s="14">
        <f t="shared" si="62"/>
        <v>20.5</v>
      </c>
      <c r="P115" s="20">
        <f t="shared" ref="P115:P134" si="92">P114+32.2*X114*(O115-O114)</f>
        <v>45.836222434447031</v>
      </c>
      <c r="Q115" s="15">
        <f t="shared" ref="Q115:Q134" si="93">Z115/661</f>
        <v>6.3751692203800378E-2</v>
      </c>
      <c r="R115" s="16">
        <f t="shared" ref="R115:R134" si="94">1481*Q115^2</f>
        <v>6.0191961013540389</v>
      </c>
      <c r="S115" s="28">
        <f t="shared" si="50"/>
        <v>0</v>
      </c>
      <c r="T115" s="15">
        <f t="shared" ref="T115:T134" si="95">IF(S115&lt;$P$8,S115^2/(PI()*$P$12)+$P$11,99.999)</f>
        <v>3.7885926522012496E-2</v>
      </c>
      <c r="U115" s="29">
        <f t="shared" ref="U115:U134" si="96">S115*R115*$P$13</f>
        <v>0</v>
      </c>
      <c r="V115" s="8">
        <f t="shared" ref="V115:V134" si="97">IF(T115="","",R115*T115*$P$13+$U$12*($P$10-U115))</f>
        <v>1.8232569273048993</v>
      </c>
      <c r="W115" s="8">
        <f t="shared" ref="W115:W134" si="98">$P$9*($G$28*Z115^2+$G$29*Z115+$G$30)</f>
        <v>1.8737119257939361</v>
      </c>
      <c r="X115" s="17">
        <f t="shared" ref="X115:X134" si="99">IF(T115="","",(W115-V115)/$P$10)</f>
        <v>5.544505328465581E-3</v>
      </c>
      <c r="Y115" s="18">
        <f t="shared" ref="Y115:Y134" si="100">Q115/$U$9</f>
        <v>1.8833550578720417</v>
      </c>
      <c r="Z115" s="8">
        <f t="shared" ref="Z115:Z134" si="101">P115*3600/6080+$P$14</f>
        <v>42.139868546712052</v>
      </c>
      <c r="AA115" s="19">
        <f t="shared" ref="AA115:AA134" si="102">AA114+(P115+P114)/2*(O115-O114)</f>
        <v>697.44331087204432</v>
      </c>
    </row>
    <row r="116" spans="9:27" ht="15.75" thickBot="1" x14ac:dyDescent="0.3">
      <c r="I116" s="1"/>
      <c r="J116" s="1"/>
      <c r="O116" s="14">
        <f t="shared" si="62"/>
        <v>21</v>
      </c>
      <c r="P116" s="20">
        <f t="shared" si="92"/>
        <v>45.925488970235328</v>
      </c>
      <c r="Q116" s="15">
        <f t="shared" si="93"/>
        <v>6.3831654663201481E-2</v>
      </c>
      <c r="R116" s="16">
        <f t="shared" si="94"/>
        <v>6.0343050829595146</v>
      </c>
      <c r="S116" s="28">
        <f t="shared" si="50"/>
        <v>0</v>
      </c>
      <c r="T116" s="15">
        <f t="shared" si="95"/>
        <v>3.7885926522012496E-2</v>
      </c>
      <c r="U116" s="29">
        <f t="shared" si="96"/>
        <v>0</v>
      </c>
      <c r="V116" s="8">
        <f t="shared" si="97"/>
        <v>1.8266914339064642</v>
      </c>
      <c r="W116" s="8">
        <f t="shared" si="98"/>
        <v>1.8721650385272111</v>
      </c>
      <c r="X116" s="17">
        <f t="shared" si="99"/>
        <v>4.9970994088732856E-3</v>
      </c>
      <c r="Y116" s="18">
        <f t="shared" si="100"/>
        <v>1.8857173120671387</v>
      </c>
      <c r="Z116" s="8">
        <f t="shared" si="101"/>
        <v>42.19272373237618</v>
      </c>
      <c r="AA116" s="19">
        <f t="shared" si="102"/>
        <v>720.38373872321495</v>
      </c>
    </row>
    <row r="117" spans="9:27" ht="15.75" thickBot="1" x14ac:dyDescent="0.3">
      <c r="I117" s="1"/>
      <c r="J117" s="1"/>
      <c r="O117" s="14">
        <f t="shared" si="62"/>
        <v>21.5</v>
      </c>
      <c r="P117" s="20">
        <f t="shared" si="92"/>
        <v>46.005942270718187</v>
      </c>
      <c r="Q117" s="15">
        <f t="shared" si="93"/>
        <v>6.3903722473571109E-2</v>
      </c>
      <c r="R117" s="16">
        <f t="shared" si="94"/>
        <v>6.0479385897951907</v>
      </c>
      <c r="S117" s="28">
        <f t="shared" si="50"/>
        <v>0</v>
      </c>
      <c r="T117" s="15">
        <f t="shared" si="95"/>
        <v>3.7885926522012496E-2</v>
      </c>
      <c r="U117" s="29">
        <f t="shared" si="96"/>
        <v>0</v>
      </c>
      <c r="V117" s="8">
        <f t="shared" si="97"/>
        <v>1.829790542135747</v>
      </c>
      <c r="W117" s="8">
        <f t="shared" si="98"/>
        <v>1.8707699171538261</v>
      </c>
      <c r="X117" s="17">
        <f t="shared" si="99"/>
        <v>4.5032280239647405E-3</v>
      </c>
      <c r="Y117" s="18">
        <f t="shared" si="100"/>
        <v>1.8878463422226914</v>
      </c>
      <c r="Z117" s="8">
        <f t="shared" si="101"/>
        <v>42.240360555030506</v>
      </c>
      <c r="AA117" s="19">
        <f t="shared" si="102"/>
        <v>743.36659653345328</v>
      </c>
    </row>
    <row r="118" spans="9:27" ht="15.75" thickBot="1" x14ac:dyDescent="0.3">
      <c r="I118" s="1"/>
      <c r="J118" s="1"/>
      <c r="O118" s="14">
        <f t="shared" si="62"/>
        <v>22</v>
      </c>
      <c r="P118" s="20">
        <f t="shared" si="92"/>
        <v>46.078444241904016</v>
      </c>
      <c r="Q118" s="15">
        <f t="shared" si="93"/>
        <v>6.3968667706140639E-2</v>
      </c>
      <c r="R118" s="16">
        <f t="shared" si="94"/>
        <v>6.060237853634086</v>
      </c>
      <c r="S118" s="28">
        <f t="shared" si="50"/>
        <v>0</v>
      </c>
      <c r="T118" s="15">
        <f t="shared" si="95"/>
        <v>3.7885926522012496E-2</v>
      </c>
      <c r="U118" s="29">
        <f t="shared" si="96"/>
        <v>0</v>
      </c>
      <c r="V118" s="8">
        <f t="shared" si="97"/>
        <v>1.8325863561721984</v>
      </c>
      <c r="W118" s="8">
        <f t="shared" si="98"/>
        <v>1.8695119002986476</v>
      </c>
      <c r="X118" s="17">
        <f t="shared" si="99"/>
        <v>4.057752101807594E-3</v>
      </c>
      <c r="Y118" s="18">
        <f t="shared" si="100"/>
        <v>1.8897649568981025</v>
      </c>
      <c r="Z118" s="8">
        <f t="shared" si="101"/>
        <v>42.28328935375896</v>
      </c>
      <c r="AA118" s="19">
        <f t="shared" si="102"/>
        <v>766.38769316160881</v>
      </c>
    </row>
    <row r="119" spans="9:27" ht="15.75" thickBot="1" x14ac:dyDescent="0.3">
      <c r="I119" s="1"/>
      <c r="J119" s="1"/>
      <c r="O119" s="14">
        <f t="shared" si="62"/>
        <v>22.5</v>
      </c>
      <c r="P119" s="20">
        <f t="shared" si="92"/>
        <v>46.143774050743119</v>
      </c>
      <c r="Q119" s="15">
        <f t="shared" si="93"/>
        <v>6.4027188316813449E-2</v>
      </c>
      <c r="R119" s="16">
        <f t="shared" si="94"/>
        <v>6.0713311296036618</v>
      </c>
      <c r="S119" s="28">
        <f t="shared" si="50"/>
        <v>0</v>
      </c>
      <c r="T119" s="15">
        <f t="shared" si="95"/>
        <v>3.7885926522012496E-2</v>
      </c>
      <c r="U119" s="29">
        <f t="shared" si="96"/>
        <v>0</v>
      </c>
      <c r="V119" s="8">
        <f t="shared" si="97"/>
        <v>1.8351080304018288</v>
      </c>
      <c r="W119" s="8">
        <f t="shared" si="98"/>
        <v>1.8683776997330666</v>
      </c>
      <c r="X119" s="17">
        <f t="shared" si="99"/>
        <v>3.6560076188173365E-3</v>
      </c>
      <c r="Y119" s="18">
        <f t="shared" si="100"/>
        <v>1.8914937751347707</v>
      </c>
      <c r="Z119" s="8">
        <f t="shared" si="101"/>
        <v>42.32197147741369</v>
      </c>
      <c r="AA119" s="19">
        <f t="shared" si="102"/>
        <v>789.44324773477058</v>
      </c>
    </row>
    <row r="120" spans="9:27" ht="15.75" thickBot="1" x14ac:dyDescent="0.3">
      <c r="I120" s="1"/>
      <c r="J120" s="1"/>
      <c r="O120" s="14">
        <f t="shared" si="62"/>
        <v>23</v>
      </c>
      <c r="P120" s="20">
        <f t="shared" si="92"/>
        <v>46.20263577340608</v>
      </c>
      <c r="Q120" s="15">
        <f t="shared" si="93"/>
        <v>6.4079914997278317E-2</v>
      </c>
      <c r="R120" s="16">
        <f t="shared" si="94"/>
        <v>6.0813347844725119</v>
      </c>
      <c r="S120" s="28">
        <f t="shared" si="50"/>
        <v>0</v>
      </c>
      <c r="T120" s="15">
        <f t="shared" si="95"/>
        <v>3.7885926522012496E-2</v>
      </c>
      <c r="U120" s="29">
        <f t="shared" si="96"/>
        <v>0</v>
      </c>
      <c r="V120" s="8">
        <f t="shared" si="97"/>
        <v>1.8373820168017057</v>
      </c>
      <c r="W120" s="8">
        <f t="shared" si="98"/>
        <v>1.8673552800077982</v>
      </c>
      <c r="X120" s="17">
        <f t="shared" si="99"/>
        <v>3.2937651874826927E-3</v>
      </c>
      <c r="Y120" s="18">
        <f t="shared" si="100"/>
        <v>1.8930514288519593</v>
      </c>
      <c r="Z120" s="8">
        <f t="shared" si="101"/>
        <v>42.356823813200968</v>
      </c>
      <c r="AA120" s="19">
        <f t="shared" si="102"/>
        <v>812.52985019080791</v>
      </c>
    </row>
    <row r="121" spans="9:27" ht="15.75" thickBot="1" x14ac:dyDescent="0.3">
      <c r="I121" s="1"/>
      <c r="J121" s="1"/>
      <c r="O121" s="14">
        <f t="shared" si="62"/>
        <v>23.5</v>
      </c>
      <c r="P121" s="20">
        <f t="shared" si="92"/>
        <v>46.255665392924548</v>
      </c>
      <c r="Q121" s="15">
        <f t="shared" si="93"/>
        <v>6.4127417443299722E-2</v>
      </c>
      <c r="R121" s="16">
        <f t="shared" si="94"/>
        <v>6.0903543142298355</v>
      </c>
      <c r="S121" s="28">
        <f t="shared" si="50"/>
        <v>0</v>
      </c>
      <c r="T121" s="15">
        <f t="shared" si="95"/>
        <v>3.7885926522012496E-2</v>
      </c>
      <c r="U121" s="29">
        <f t="shared" si="96"/>
        <v>0</v>
      </c>
      <c r="V121" s="8">
        <f t="shared" si="97"/>
        <v>1.8394322962516001</v>
      </c>
      <c r="W121" s="8">
        <f t="shared" si="98"/>
        <v>1.8664337470347045</v>
      </c>
      <c r="X121" s="17">
        <f t="shared" si="99"/>
        <v>2.9671923937477423E-3</v>
      </c>
      <c r="Y121" s="18">
        <f t="shared" si="100"/>
        <v>1.8944547480248797</v>
      </c>
      <c r="Z121" s="8">
        <f t="shared" si="101"/>
        <v>42.388222930021115</v>
      </c>
      <c r="AA121" s="19">
        <f t="shared" si="102"/>
        <v>835.6444254823906</v>
      </c>
    </row>
    <row r="122" spans="9:27" ht="15.75" thickBot="1" x14ac:dyDescent="0.3">
      <c r="I122" s="1"/>
      <c r="J122" s="1"/>
      <c r="O122" s="14">
        <f t="shared" si="62"/>
        <v>24</v>
      </c>
      <c r="P122" s="20">
        <f t="shared" si="92"/>
        <v>46.303437190463889</v>
      </c>
      <c r="Q122" s="15">
        <f t="shared" si="93"/>
        <v>6.4170210079840667E-2</v>
      </c>
      <c r="R122" s="16">
        <f t="shared" si="94"/>
        <v>6.0984852911642005</v>
      </c>
      <c r="S122" s="28">
        <f t="shared" si="50"/>
        <v>0</v>
      </c>
      <c r="T122" s="15">
        <f t="shared" si="95"/>
        <v>3.7885926522012496E-2</v>
      </c>
      <c r="U122" s="29">
        <f t="shared" si="96"/>
        <v>0</v>
      </c>
      <c r="V122" s="8">
        <f t="shared" si="97"/>
        <v>1.8412805938197254</v>
      </c>
      <c r="W122" s="8">
        <f t="shared" si="98"/>
        <v>1.8656032452804254</v>
      </c>
      <c r="X122" s="17">
        <f t="shared" si="99"/>
        <v>2.6728188418351658E-3</v>
      </c>
      <c r="Y122" s="18">
        <f t="shared" si="100"/>
        <v>1.8957189298165007</v>
      </c>
      <c r="Z122" s="8">
        <f t="shared" si="101"/>
        <v>42.416508862774677</v>
      </c>
      <c r="AA122" s="19">
        <f t="shared" si="102"/>
        <v>858.78420112823767</v>
      </c>
    </row>
    <row r="123" spans="9:27" ht="15.75" thickBot="1" x14ac:dyDescent="0.3">
      <c r="I123" s="1"/>
      <c r="J123" s="1"/>
      <c r="O123" s="14">
        <f t="shared" si="62"/>
        <v>24.5</v>
      </c>
      <c r="P123" s="20">
        <f t="shared" si="92"/>
        <v>46.346469573817437</v>
      </c>
      <c r="Q123" s="15">
        <f t="shared" si="93"/>
        <v>6.4208757282064349E-2</v>
      </c>
      <c r="R123" s="16">
        <f t="shared" si="94"/>
        <v>6.1058142418381438</v>
      </c>
      <c r="S123" s="28">
        <f t="shared" si="50"/>
        <v>0</v>
      </c>
      <c r="T123" s="15">
        <f t="shared" si="95"/>
        <v>3.7885926522012496E-2</v>
      </c>
      <c r="U123" s="29">
        <f t="shared" si="96"/>
        <v>0</v>
      </c>
      <c r="V123" s="8">
        <f t="shared" si="97"/>
        <v>1.8429465783400243</v>
      </c>
      <c r="W123" s="8">
        <f t="shared" si="98"/>
        <v>1.8648548631693762</v>
      </c>
      <c r="X123" s="17">
        <f t="shared" si="99"/>
        <v>2.4075038274013099E-3</v>
      </c>
      <c r="Y123" s="18">
        <f t="shared" si="100"/>
        <v>1.8968576928165903</v>
      </c>
      <c r="Z123" s="8">
        <f t="shared" si="101"/>
        <v>42.441988563444539</v>
      </c>
      <c r="AA123" s="19">
        <f t="shared" si="102"/>
        <v>881.94667781930798</v>
      </c>
    </row>
    <row r="124" spans="9:27" ht="15.75" thickBot="1" x14ac:dyDescent="0.3">
      <c r="I124" s="1"/>
      <c r="J124" s="1"/>
      <c r="O124" s="14">
        <f t="shared" si="62"/>
        <v>25</v>
      </c>
      <c r="P124" s="20">
        <f t="shared" si="92"/>
        <v>46.385230385438597</v>
      </c>
      <c r="Q124" s="15">
        <f t="shared" si="93"/>
        <v>6.4243478130120574E-2</v>
      </c>
      <c r="R124" s="16">
        <f t="shared" si="94"/>
        <v>6.1124194582200708</v>
      </c>
      <c r="S124" s="28">
        <f t="shared" si="50"/>
        <v>0</v>
      </c>
      <c r="T124" s="15">
        <f t="shared" si="95"/>
        <v>3.7885926522012496E-2</v>
      </c>
      <c r="U124" s="29">
        <f t="shared" si="96"/>
        <v>0</v>
      </c>
      <c r="V124" s="8">
        <f t="shared" si="97"/>
        <v>1.8444480467950704</v>
      </c>
      <c r="W124" s="8">
        <f t="shared" si="98"/>
        <v>1.8641805462519878</v>
      </c>
      <c r="X124" s="17">
        <f t="shared" si="99"/>
        <v>2.1684065337271938E-3</v>
      </c>
      <c r="Y124" s="18">
        <f t="shared" si="100"/>
        <v>1.8978834175078072</v>
      </c>
      <c r="Z124" s="8">
        <f t="shared" si="101"/>
        <v>42.464939044009697</v>
      </c>
      <c r="AA124" s="19">
        <f t="shared" si="102"/>
        <v>905.12960280912193</v>
      </c>
    </row>
    <row r="125" spans="9:27" ht="15.75" thickBot="1" x14ac:dyDescent="0.3">
      <c r="I125" s="1"/>
      <c r="J125" s="1"/>
      <c r="O125" s="14">
        <f t="shared" si="62"/>
        <v>25.5</v>
      </c>
      <c r="P125" s="20">
        <f t="shared" si="92"/>
        <v>46.420141730631606</v>
      </c>
      <c r="Q125" s="15">
        <f t="shared" si="93"/>
        <v>6.4274750734103492E-2</v>
      </c>
      <c r="R125" s="16">
        <f t="shared" si="94"/>
        <v>6.1183717448400143</v>
      </c>
      <c r="S125" s="28">
        <f t="shared" si="50"/>
        <v>0</v>
      </c>
      <c r="T125" s="15">
        <f t="shared" si="95"/>
        <v>3.7885926522012496E-2</v>
      </c>
      <c r="U125" s="29">
        <f t="shared" si="96"/>
        <v>0</v>
      </c>
      <c r="V125" s="8">
        <f t="shared" si="97"/>
        <v>1.8458010941561971</v>
      </c>
      <c r="W125" s="8">
        <f t="shared" si="98"/>
        <v>1.8635730176708072</v>
      </c>
      <c r="X125" s="17">
        <f t="shared" si="99"/>
        <v>1.9529586279791319E-3</v>
      </c>
      <c r="Y125" s="18">
        <f t="shared" si="100"/>
        <v>1.8988072740337762</v>
      </c>
      <c r="Z125" s="8">
        <f t="shared" si="101"/>
        <v>42.485610235242405</v>
      </c>
      <c r="AA125" s="19">
        <f t="shared" si="102"/>
        <v>928.33094583813954</v>
      </c>
    </row>
    <row r="126" spans="9:27" ht="15.75" thickBot="1" x14ac:dyDescent="0.3">
      <c r="I126" s="1"/>
      <c r="J126" s="1"/>
      <c r="O126" s="14">
        <f t="shared" si="62"/>
        <v>26</v>
      </c>
      <c r="P126" s="20">
        <f t="shared" si="92"/>
        <v>46.451584364542072</v>
      </c>
      <c r="Q126" s="15">
        <f t="shared" si="93"/>
        <v>6.4302916163794743E-2</v>
      </c>
      <c r="R126" s="16">
        <f t="shared" si="94"/>
        <v>6.1237351052358298</v>
      </c>
      <c r="S126" s="28">
        <f t="shared" si="50"/>
        <v>0</v>
      </c>
      <c r="T126" s="15">
        <f t="shared" si="95"/>
        <v>3.7885926522012496E-2</v>
      </c>
      <c r="U126" s="29">
        <f t="shared" si="96"/>
        <v>0</v>
      </c>
      <c r="V126" s="8">
        <f t="shared" si="97"/>
        <v>1.8470202694233988</v>
      </c>
      <c r="W126" s="8">
        <f t="shared" si="98"/>
        <v>1.8630257054480173</v>
      </c>
      <c r="X126" s="17">
        <f t="shared" si="99"/>
        <v>1.758839123584446E-3</v>
      </c>
      <c r="Y126" s="18">
        <f t="shared" si="100"/>
        <v>1.8996393382917192</v>
      </c>
      <c r="Z126" s="8">
        <f t="shared" si="101"/>
        <v>42.504227584268328</v>
      </c>
      <c r="AA126" s="19">
        <f t="shared" si="102"/>
        <v>951.54887736193291</v>
      </c>
    </row>
    <row r="127" spans="9:27" ht="15.75" thickBot="1" x14ac:dyDescent="0.3">
      <c r="I127" s="1"/>
      <c r="J127" s="1"/>
      <c r="O127" s="14">
        <f t="shared" si="62"/>
        <v>26.5</v>
      </c>
      <c r="P127" s="20">
        <f t="shared" si="92"/>
        <v>46.47990167443178</v>
      </c>
      <c r="Q127" s="15">
        <f t="shared" si="93"/>
        <v>6.4328282015873678E-2</v>
      </c>
      <c r="R127" s="16">
        <f t="shared" si="94"/>
        <v>6.1285673711955031</v>
      </c>
      <c r="S127" s="28">
        <f t="shared" si="50"/>
        <v>0</v>
      </c>
      <c r="T127" s="15">
        <f t="shared" si="95"/>
        <v>3.7885926522012496E-2</v>
      </c>
      <c r="U127" s="29">
        <f t="shared" si="96"/>
        <v>0</v>
      </c>
      <c r="V127" s="8">
        <f t="shared" si="97"/>
        <v>1.8481187186618966</v>
      </c>
      <c r="W127" s="8">
        <f t="shared" si="98"/>
        <v>1.8625326761196492</v>
      </c>
      <c r="X127" s="17">
        <f t="shared" si="99"/>
        <v>1.5839513689838074E-3</v>
      </c>
      <c r="Y127" s="18">
        <f t="shared" si="100"/>
        <v>1.9003886973151216</v>
      </c>
      <c r="Z127" s="8">
        <f t="shared" si="101"/>
        <v>42.520994412492499</v>
      </c>
      <c r="AA127" s="19">
        <f t="shared" si="102"/>
        <v>974.78174887167643</v>
      </c>
    </row>
    <row r="128" spans="9:27" ht="15.75" thickBot="1" x14ac:dyDescent="0.3">
      <c r="O128" s="14">
        <f t="shared" si="62"/>
        <v>27</v>
      </c>
      <c r="P128" s="20">
        <f t="shared" si="92"/>
        <v>46.505403291472419</v>
      </c>
      <c r="Q128" s="15">
        <f t="shared" si="93"/>
        <v>6.4351125649260654E-2</v>
      </c>
      <c r="R128" s="16">
        <f t="shared" si="94"/>
        <v>6.132920778416187</v>
      </c>
      <c r="S128" s="28">
        <f t="shared" si="50"/>
        <v>0</v>
      </c>
      <c r="T128" s="15">
        <f t="shared" si="95"/>
        <v>3.7885926522012496E-2</v>
      </c>
      <c r="U128" s="29">
        <f t="shared" si="96"/>
        <v>0</v>
      </c>
      <c r="V128" s="8">
        <f t="shared" si="97"/>
        <v>1.8491083158583961</v>
      </c>
      <c r="W128" s="8">
        <f t="shared" si="98"/>
        <v>1.8620885742515085</v>
      </c>
      <c r="X128" s="17">
        <f t="shared" si="99"/>
        <v>1.4264020212211488E-3</v>
      </c>
      <c r="Y128" s="18">
        <f t="shared" si="100"/>
        <v>1.9010635448523761</v>
      </c>
      <c r="Z128" s="8">
        <f t="shared" si="101"/>
        <v>42.536094054161296</v>
      </c>
      <c r="AA128" s="19">
        <f t="shared" si="102"/>
        <v>998.02807511315245</v>
      </c>
    </row>
    <row r="129" spans="15:27" ht="15.75" thickBot="1" x14ac:dyDescent="0.3">
      <c r="O129" s="14">
        <f t="shared" si="62"/>
        <v>27.5</v>
      </c>
      <c r="P129" s="20">
        <f t="shared" si="92"/>
        <v>46.528368364014078</v>
      </c>
      <c r="Q129" s="15">
        <f t="shared" si="93"/>
        <v>6.4371697117219392E-2</v>
      </c>
      <c r="R129" s="16">
        <f t="shared" si="94"/>
        <v>6.1368424922212785</v>
      </c>
      <c r="S129" s="28">
        <f t="shared" si="50"/>
        <v>0</v>
      </c>
      <c r="T129" s="15">
        <f t="shared" si="95"/>
        <v>3.7885926522012496E-2</v>
      </c>
      <c r="U129" s="29">
        <f t="shared" si="96"/>
        <v>0</v>
      </c>
      <c r="V129" s="8">
        <f t="shared" si="97"/>
        <v>1.8499997824247565</v>
      </c>
      <c r="W129" s="8">
        <f t="shared" si="98"/>
        <v>1.8616885673873407</v>
      </c>
      <c r="X129" s="17">
        <f t="shared" si="99"/>
        <v>1.2844818640202404E-3</v>
      </c>
      <c r="Y129" s="18">
        <f t="shared" si="100"/>
        <v>1.9016712679870669</v>
      </c>
      <c r="Z129" s="8">
        <f t="shared" si="101"/>
        <v>42.549691794482015</v>
      </c>
      <c r="AA129" s="19">
        <f t="shared" si="102"/>
        <v>1021.286518027024</v>
      </c>
    </row>
    <row r="130" spans="15:27" ht="15.75" thickBot="1" x14ac:dyDescent="0.3">
      <c r="O130" s="14">
        <f t="shared" si="62"/>
        <v>28</v>
      </c>
      <c r="P130" s="20">
        <f t="shared" si="92"/>
        <v>46.549048522024805</v>
      </c>
      <c r="Q130" s="15">
        <f t="shared" si="93"/>
        <v>6.4390221822818616E-2</v>
      </c>
      <c r="R130" s="16">
        <f t="shared" si="94"/>
        <v>6.1403750869262366</v>
      </c>
      <c r="S130" s="28">
        <f t="shared" si="50"/>
        <v>0</v>
      </c>
      <c r="T130" s="15">
        <f t="shared" si="95"/>
        <v>3.7885926522012496E-2</v>
      </c>
      <c r="U130" s="29">
        <f t="shared" si="96"/>
        <v>0</v>
      </c>
      <c r="V130" s="8">
        <f t="shared" si="97"/>
        <v>1.8508027961653011</v>
      </c>
      <c r="W130" s="8">
        <f t="shared" si="98"/>
        <v>1.861328295999336</v>
      </c>
      <c r="X130" s="17">
        <f t="shared" si="99"/>
        <v>1.1566483334104337E-3</v>
      </c>
      <c r="Y130" s="18">
        <f t="shared" si="100"/>
        <v>1.9022185255857258</v>
      </c>
      <c r="Z130" s="8">
        <f t="shared" si="101"/>
        <v>42.56193662488311</v>
      </c>
      <c r="AA130" s="19">
        <f t="shared" si="102"/>
        <v>1044.5558722485337</v>
      </c>
    </row>
    <row r="131" spans="15:27" ht="15.75" thickBot="1" x14ac:dyDescent="0.3">
      <c r="O131" s="14">
        <f t="shared" si="62"/>
        <v>28.5</v>
      </c>
      <c r="P131" s="20">
        <f t="shared" si="92"/>
        <v>46.56767056019271</v>
      </c>
      <c r="Q131" s="15">
        <f t="shared" si="93"/>
        <v>6.44069029223798E-2</v>
      </c>
      <c r="R131" s="16">
        <f t="shared" si="94"/>
        <v>6.1435569823422789</v>
      </c>
      <c r="S131" s="28">
        <f t="shared" si="50"/>
        <v>0</v>
      </c>
      <c r="T131" s="15">
        <f t="shared" si="95"/>
        <v>3.7885926522012496E-2</v>
      </c>
      <c r="U131" s="29">
        <f t="shared" si="96"/>
        <v>0</v>
      </c>
      <c r="V131" s="8">
        <f t="shared" si="97"/>
        <v>1.8515260905008983</v>
      </c>
      <c r="W131" s="8">
        <f t="shared" si="98"/>
        <v>1.8610038280332626</v>
      </c>
      <c r="X131" s="17">
        <f t="shared" si="99"/>
        <v>1.0415096189411264E-3</v>
      </c>
      <c r="Y131" s="18">
        <f t="shared" si="100"/>
        <v>1.9027113193005811</v>
      </c>
      <c r="Z131" s="8">
        <f t="shared" si="101"/>
        <v>42.572962831693047</v>
      </c>
      <c r="AA131" s="19">
        <f t="shared" si="102"/>
        <v>1067.8350520190879</v>
      </c>
    </row>
    <row r="132" spans="15:27" ht="15.75" thickBot="1" x14ac:dyDescent="0.3">
      <c r="O132" s="14">
        <f t="shared" si="62"/>
        <v>29</v>
      </c>
      <c r="P132" s="20">
        <f t="shared" si="92"/>
        <v>46.584438865057663</v>
      </c>
      <c r="Q132" s="15">
        <f t="shared" si="93"/>
        <v>6.4421923499633632E-2</v>
      </c>
      <c r="R132" s="16">
        <f t="shared" si="94"/>
        <v>6.1464228407685111</v>
      </c>
      <c r="S132" s="28">
        <f t="shared" si="50"/>
        <v>0</v>
      </c>
      <c r="T132" s="15">
        <f t="shared" si="95"/>
        <v>3.7885926522012496E-2</v>
      </c>
      <c r="U132" s="29">
        <f t="shared" si="96"/>
        <v>0</v>
      </c>
      <c r="V132" s="8">
        <f t="shared" si="97"/>
        <v>1.8521775447114508</v>
      </c>
      <c r="W132" s="8">
        <f t="shared" si="98"/>
        <v>1.8607116176642782</v>
      </c>
      <c r="X132" s="17">
        <f t="shared" si="99"/>
        <v>9.3781021459641504E-4</v>
      </c>
      <c r="Y132" s="18">
        <f t="shared" si="100"/>
        <v>1.9031550577985763</v>
      </c>
      <c r="Z132" s="8">
        <f t="shared" si="101"/>
        <v>42.582891433257828</v>
      </c>
      <c r="AA132" s="19">
        <f t="shared" si="102"/>
        <v>1091.1230793754005</v>
      </c>
    </row>
    <row r="133" spans="15:27" ht="15.75" thickBot="1" x14ac:dyDescent="0.3">
      <c r="O133" s="14">
        <f t="shared" si="62"/>
        <v>29.5</v>
      </c>
      <c r="P133" s="20">
        <f t="shared" si="92"/>
        <v>46.599537609512666</v>
      </c>
      <c r="Q133" s="15">
        <f t="shared" si="93"/>
        <v>6.4435448531492759E-2</v>
      </c>
      <c r="R133" s="16">
        <f t="shared" si="94"/>
        <v>6.1490039276603392</v>
      </c>
      <c r="S133" s="28">
        <f t="shared" si="50"/>
        <v>0</v>
      </c>
      <c r="T133" s="15">
        <f t="shared" si="95"/>
        <v>3.7885926522012496E-2</v>
      </c>
      <c r="U133" s="29">
        <f t="shared" si="96"/>
        <v>0</v>
      </c>
      <c r="V133" s="8">
        <f t="shared" si="97"/>
        <v>1.8527642659214352</v>
      </c>
      <c r="W133" s="8">
        <f t="shared" si="98"/>
        <v>1.8604484679039699</v>
      </c>
      <c r="X133" s="17">
        <f t="shared" si="99"/>
        <v>8.4441780027854089E-4</v>
      </c>
      <c r="Y133" s="18">
        <f t="shared" si="100"/>
        <v>1.903554614834307</v>
      </c>
      <c r="Z133" s="8">
        <f t="shared" si="101"/>
        <v>42.59183147931671</v>
      </c>
      <c r="AA133" s="19">
        <f t="shared" si="102"/>
        <v>1114.419073494043</v>
      </c>
    </row>
    <row r="134" spans="15:27" ht="15.75" thickBot="1" x14ac:dyDescent="0.3">
      <c r="O134" s="14">
        <f t="shared" si="62"/>
        <v>30</v>
      </c>
      <c r="P134" s="20">
        <f t="shared" si="92"/>
        <v>46.61313273609715</v>
      </c>
      <c r="Q134" s="15">
        <f t="shared" si="93"/>
        <v>6.4447626664630386E-2</v>
      </c>
      <c r="R134" s="16">
        <f t="shared" si="94"/>
        <v>6.1513284389839988</v>
      </c>
      <c r="S134" s="28">
        <f t="shared" si="50"/>
        <v>0</v>
      </c>
      <c r="T134" s="15">
        <f t="shared" si="95"/>
        <v>3.7885926522012496E-2</v>
      </c>
      <c r="U134" s="29">
        <f t="shared" si="96"/>
        <v>0</v>
      </c>
      <c r="V134" s="8">
        <f t="shared" si="97"/>
        <v>1.8532926635126818</v>
      </c>
      <c r="W134" s="8">
        <f t="shared" si="98"/>
        <v>1.8602114967237373</v>
      </c>
      <c r="X134" s="17">
        <f t="shared" si="99"/>
        <v>7.603113418742268E-4</v>
      </c>
      <c r="Y134" s="18">
        <f t="shared" si="100"/>
        <v>1.9039143817337778</v>
      </c>
      <c r="Z134" s="8">
        <f t="shared" si="101"/>
        <v>42.599881225320686</v>
      </c>
      <c r="AA134" s="19">
        <f t="shared" si="102"/>
        <v>1137.7222410804454</v>
      </c>
    </row>
  </sheetData>
  <sortState ref="I3:J122">
    <sortCondition ref="J3:J122"/>
  </sortState>
  <mergeCells count="1">
    <mergeCell ref="O7:Q7"/>
  </mergeCells>
  <conditionalFormatting sqref="Y74:Y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Y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A74:AA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4:V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B20:AB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B18:AB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W74:W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6:T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6:AC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6:AD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1:AD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B16:AB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"/>
  <sheetViews>
    <sheetView workbookViewId="0">
      <selection activeCell="D3" sqref="D3"/>
    </sheetView>
  </sheetViews>
  <sheetFormatPr defaultRowHeight="15" x14ac:dyDescent="0.25"/>
  <cols>
    <col min="1" max="1" width="15.28515625" bestFit="1" customWidth="1"/>
    <col min="2" max="2" width="18.5703125" bestFit="1" customWidth="1"/>
    <col min="3" max="3" width="15.85546875" bestFit="1" customWidth="1"/>
    <col min="4" max="4" width="10.28515625" bestFit="1" customWidth="1"/>
    <col min="5" max="5" width="11.140625" bestFit="1" customWidth="1"/>
    <col min="6" max="6" width="11.140625" style="40" customWidth="1"/>
    <col min="7" max="7" width="16.85546875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9" t="s">
        <v>150</v>
      </c>
      <c r="B1" s="60" t="s">
        <v>151</v>
      </c>
      <c r="C1" s="60" t="s">
        <v>152</v>
      </c>
      <c r="D1" s="60" t="s">
        <v>153</v>
      </c>
      <c r="E1" s="60" t="s">
        <v>154</v>
      </c>
      <c r="F1" s="63" t="s">
        <v>165</v>
      </c>
      <c r="G1" s="59" t="s">
        <v>162</v>
      </c>
      <c r="H1" s="61">
        <f>IF($A2*$M2+2.5&gt;$D2*$M3,$A2*$M2+2.5,$D2*$M3)</f>
        <v>7.5</v>
      </c>
      <c r="I1" s="77" t="str">
        <f>IF($A2*$M2+2.5&gt;$D2*$M3,"Passenger Dominated","Cargo Dominated")</f>
        <v>Cargo Dominated</v>
      </c>
      <c r="J1" s="59"/>
      <c r="K1" s="62"/>
      <c r="L1" s="59"/>
      <c r="M1" s="60" t="s">
        <v>137</v>
      </c>
      <c r="N1" s="60" t="s">
        <v>136</v>
      </c>
      <c r="O1" s="60" t="s">
        <v>138</v>
      </c>
      <c r="P1" s="63" t="s">
        <v>155</v>
      </c>
    </row>
    <row r="2" spans="1:16" x14ac:dyDescent="0.25">
      <c r="A2" s="64">
        <v>2</v>
      </c>
      <c r="B2" s="65">
        <v>6</v>
      </c>
      <c r="C2" s="66">
        <f>$B2*$A2</f>
        <v>12</v>
      </c>
      <c r="D2" s="65">
        <v>3</v>
      </c>
      <c r="E2" s="65">
        <v>1</v>
      </c>
      <c r="F2" s="74">
        <f>E2*D2</f>
        <v>3</v>
      </c>
      <c r="G2" s="67" t="s">
        <v>163</v>
      </c>
      <c r="H2" s="68">
        <f>IF(($B$2*(2.5))&gt;($E$2*$N$3),$B$2*(2.5),$E$2*$N$3)</f>
        <v>15</v>
      </c>
      <c r="I2" s="69" t="str">
        <f>IF(($B$2*(2.5))&gt;($E$2*$N$3),"Passenger Dominated","Cargo Dominated")</f>
        <v>Passenger Dominated</v>
      </c>
      <c r="J2" s="67" t="s">
        <v>156</v>
      </c>
      <c r="K2" s="69">
        <f>(P2*$B2*$A2)/16</f>
        <v>1.5</v>
      </c>
      <c r="L2" s="67" t="s">
        <v>157</v>
      </c>
      <c r="M2" s="70">
        <v>2.5</v>
      </c>
      <c r="N2" s="68">
        <f>M2</f>
        <v>2.5</v>
      </c>
      <c r="O2" s="68">
        <f>M2</f>
        <v>2.5</v>
      </c>
      <c r="P2" s="69">
        <v>2</v>
      </c>
    </row>
    <row r="3" spans="1:16" x14ac:dyDescent="0.25">
      <c r="A3" s="40"/>
      <c r="B3" s="40"/>
      <c r="C3" s="40"/>
      <c r="D3" s="40"/>
      <c r="E3" s="40"/>
      <c r="G3" s="67" t="s">
        <v>164</v>
      </c>
      <c r="H3" s="68">
        <f>$O$3+$O$2</f>
        <v>5</v>
      </c>
      <c r="I3" s="69"/>
      <c r="J3" s="67" t="s">
        <v>158</v>
      </c>
      <c r="K3" s="69">
        <f>$E2*$D2*P3/16</f>
        <v>1.5</v>
      </c>
      <c r="L3" s="72" t="s">
        <v>159</v>
      </c>
      <c r="M3" s="65">
        <v>2.5</v>
      </c>
      <c r="N3" s="65">
        <v>4</v>
      </c>
      <c r="O3" s="65">
        <v>2.5</v>
      </c>
      <c r="P3" s="74">
        <v>8</v>
      </c>
    </row>
    <row r="4" spans="1:16" x14ac:dyDescent="0.25">
      <c r="A4" s="40"/>
      <c r="B4" s="40">
        <f>6*2.5</f>
        <v>15</v>
      </c>
      <c r="C4" s="40"/>
      <c r="D4" s="40"/>
      <c r="E4" s="40"/>
      <c r="G4" s="72"/>
      <c r="H4" s="66"/>
      <c r="I4" s="74"/>
      <c r="J4" s="67" t="s">
        <v>160</v>
      </c>
      <c r="K4" s="69">
        <f>K3+(K2/2)+K1</f>
        <v>2.25</v>
      </c>
      <c r="L4" s="40"/>
    </row>
    <row r="5" spans="1:16" x14ac:dyDescent="0.25">
      <c r="A5" s="40"/>
      <c r="B5" s="40"/>
      <c r="C5" s="40"/>
      <c r="D5" s="40"/>
      <c r="E5" s="40"/>
      <c r="G5" s="59" t="s">
        <v>166</v>
      </c>
      <c r="H5" s="62">
        <v>0.5</v>
      </c>
      <c r="I5" s="76"/>
      <c r="J5" s="75" t="s">
        <v>161</v>
      </c>
      <c r="K5" s="74">
        <f>SUM(K1:K3)</f>
        <v>3</v>
      </c>
      <c r="L5" s="40"/>
    </row>
    <row r="6" spans="1:16" x14ac:dyDescent="0.25">
      <c r="A6" s="40"/>
      <c r="B6" s="40"/>
      <c r="C6" s="40"/>
      <c r="D6" s="40"/>
      <c r="E6" s="40"/>
      <c r="G6" s="67" t="s">
        <v>167</v>
      </c>
      <c r="H6" s="71">
        <v>25</v>
      </c>
      <c r="I6" s="76"/>
      <c r="J6" s="40"/>
      <c r="K6" s="40"/>
      <c r="L6" s="40"/>
      <c r="M6" s="40"/>
      <c r="N6" s="40"/>
    </row>
    <row r="7" spans="1:16" x14ac:dyDescent="0.25">
      <c r="D7" t="s">
        <v>176</v>
      </c>
      <c r="G7" s="72" t="s">
        <v>168</v>
      </c>
      <c r="H7" s="73">
        <v>1</v>
      </c>
      <c r="I7" s="76"/>
    </row>
    <row r="8" spans="1:16" x14ac:dyDescent="0.25">
      <c r="G8" s="59" t="s">
        <v>169</v>
      </c>
      <c r="H8" s="77">
        <f>H5+H1</f>
        <v>8</v>
      </c>
    </row>
    <row r="9" spans="1:16" x14ac:dyDescent="0.25">
      <c r="G9" s="67" t="s">
        <v>170</v>
      </c>
      <c r="H9" s="69">
        <f>H6+H2</f>
        <v>40</v>
      </c>
    </row>
    <row r="10" spans="1:16" x14ac:dyDescent="0.25">
      <c r="G10" s="72" t="s">
        <v>171</v>
      </c>
      <c r="H10" s="74">
        <f>H3+H7</f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0"/>
  <sheetViews>
    <sheetView workbookViewId="0">
      <selection activeCell="B13" sqref="B13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108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4" spans="1:19" x14ac:dyDescent="0.25">
      <c r="A4" t="s">
        <v>109</v>
      </c>
    </row>
    <row r="5" spans="1:19" x14ac:dyDescent="0.25">
      <c r="A5" t="s">
        <v>110</v>
      </c>
      <c r="C5">
        <v>50</v>
      </c>
    </row>
    <row r="6" spans="1:19" x14ac:dyDescent="0.25">
      <c r="A6" t="s">
        <v>111</v>
      </c>
      <c r="C6">
        <f>C5/660.8</f>
        <v>7.5665859564164648E-2</v>
      </c>
    </row>
    <row r="7" spans="1:19" x14ac:dyDescent="0.25">
      <c r="A7" t="s">
        <v>112</v>
      </c>
      <c r="C7">
        <f>7100000*C6</f>
        <v>537227.60290556902</v>
      </c>
    </row>
    <row r="8" spans="1:19" x14ac:dyDescent="0.25">
      <c r="A8" t="s">
        <v>113</v>
      </c>
      <c r="C8">
        <f>C6^2*1481</f>
        <v>8.4792023316077358</v>
      </c>
      <c r="D8" t="s">
        <v>114</v>
      </c>
    </row>
    <row r="10" spans="1:19" x14ac:dyDescent="0.25">
      <c r="A10" t="s">
        <v>115</v>
      </c>
    </row>
    <row r="11" spans="1:19" x14ac:dyDescent="0.25">
      <c r="A11" t="s">
        <v>120</v>
      </c>
      <c r="G11" t="s">
        <v>132</v>
      </c>
      <c r="J11" s="40" t="s">
        <v>134</v>
      </c>
      <c r="M11" t="s">
        <v>135</v>
      </c>
      <c r="Q11" t="s">
        <v>131</v>
      </c>
      <c r="S11" t="s">
        <v>173</v>
      </c>
    </row>
    <row r="12" spans="1:19" x14ac:dyDescent="0.25">
      <c r="A12" t="s">
        <v>7</v>
      </c>
      <c r="B12" s="43">
        <v>6</v>
      </c>
      <c r="C12" t="s">
        <v>116</v>
      </c>
      <c r="G12" t="s">
        <v>133</v>
      </c>
      <c r="H12" s="43">
        <v>0.95</v>
      </c>
      <c r="I12" s="40" t="s">
        <v>116</v>
      </c>
      <c r="J12" s="40" t="s">
        <v>133</v>
      </c>
      <c r="K12" s="43">
        <v>0.3</v>
      </c>
      <c r="L12" t="s">
        <v>116</v>
      </c>
      <c r="M12" t="s">
        <v>122</v>
      </c>
      <c r="N12">
        <f>N13*(N14+N15)*2*0.7</f>
        <v>5.4444444444444438</v>
      </c>
      <c r="O12" s="40" t="s">
        <v>116</v>
      </c>
      <c r="Q12" t="s">
        <v>140</v>
      </c>
      <c r="R12" s="43">
        <v>3</v>
      </c>
      <c r="S12" t="s">
        <v>83</v>
      </c>
    </row>
    <row r="13" spans="1:19" x14ac:dyDescent="0.25">
      <c r="A13" t="s">
        <v>107</v>
      </c>
      <c r="B13" s="43">
        <v>5</v>
      </c>
      <c r="G13" t="s">
        <v>122</v>
      </c>
      <c r="H13">
        <f>2.1*H12</f>
        <v>1.9949999999999999</v>
      </c>
      <c r="I13" s="40" t="s">
        <v>116</v>
      </c>
      <c r="J13" s="40" t="s">
        <v>122</v>
      </c>
      <c r="K13" s="40">
        <f>2.1*K12</f>
        <v>0.63</v>
      </c>
      <c r="L13" t="s">
        <v>116</v>
      </c>
      <c r="M13" t="s">
        <v>136</v>
      </c>
      <c r="N13" s="78">
        <f>'Aircraft Dimensions'!H9/12</f>
        <v>3.3333333333333335</v>
      </c>
      <c r="O13" t="s">
        <v>118</v>
      </c>
      <c r="Q13" t="s">
        <v>141</v>
      </c>
      <c r="R13" s="43">
        <v>1</v>
      </c>
      <c r="S13" t="s">
        <v>83</v>
      </c>
    </row>
    <row r="14" spans="1:19" x14ac:dyDescent="0.25">
      <c r="A14" t="s">
        <v>117</v>
      </c>
      <c r="B14">
        <f>SQRT(B13*B12)</f>
        <v>5.4772255750516612</v>
      </c>
      <c r="C14" t="s">
        <v>118</v>
      </c>
      <c r="D14">
        <f>B14*12</f>
        <v>65.726706900619931</v>
      </c>
      <c r="E14" t="s">
        <v>83</v>
      </c>
      <c r="G14" t="s">
        <v>119</v>
      </c>
      <c r="H14">
        <v>0.5</v>
      </c>
      <c r="I14" s="40" t="s">
        <v>118</v>
      </c>
      <c r="J14" s="40" t="s">
        <v>119</v>
      </c>
      <c r="K14">
        <v>0.5</v>
      </c>
      <c r="L14" t="s">
        <v>118</v>
      </c>
      <c r="M14" t="s">
        <v>137</v>
      </c>
      <c r="N14" s="78">
        <f>'Aircraft Dimensions'!H8/12</f>
        <v>0.66666666666666663</v>
      </c>
      <c r="O14" t="s">
        <v>81</v>
      </c>
    </row>
    <row r="15" spans="1:19" x14ac:dyDescent="0.25">
      <c r="A15" t="s">
        <v>119</v>
      </c>
      <c r="B15">
        <f>B14/B13</f>
        <v>1.0954451150103321</v>
      </c>
      <c r="C15" t="s">
        <v>81</v>
      </c>
      <c r="D15">
        <f>B15*12</f>
        <v>13.145341380123986</v>
      </c>
      <c r="E15" t="s">
        <v>83</v>
      </c>
      <c r="G15" t="s">
        <v>128</v>
      </c>
      <c r="H15" s="57">
        <v>0.12</v>
      </c>
      <c r="J15" s="40" t="s">
        <v>128</v>
      </c>
      <c r="K15" s="58">
        <v>0.12</v>
      </c>
      <c r="M15" t="s">
        <v>138</v>
      </c>
      <c r="N15" s="78">
        <f>'Aircraft Dimensions'!H10/12</f>
        <v>0.5</v>
      </c>
      <c r="O15" t="s">
        <v>81</v>
      </c>
      <c r="Q15" t="s">
        <v>142</v>
      </c>
      <c r="R15">
        <f>R12*R13*3/144</f>
        <v>6.25E-2</v>
      </c>
      <c r="S15" s="40" t="s">
        <v>116</v>
      </c>
    </row>
    <row r="16" spans="1:19" x14ac:dyDescent="0.25">
      <c r="A16" t="s">
        <v>122</v>
      </c>
      <c r="B16">
        <f>2.1*B12</f>
        <v>12.600000000000001</v>
      </c>
      <c r="C16" s="40" t="s">
        <v>116</v>
      </c>
      <c r="M16" t="s">
        <v>106</v>
      </c>
      <c r="N16">
        <f>N14*N15</f>
        <v>0.33333333333333331</v>
      </c>
      <c r="O16" s="40" t="s">
        <v>116</v>
      </c>
    </row>
    <row r="17" spans="1:15" x14ac:dyDescent="0.25">
      <c r="A17" t="s">
        <v>128</v>
      </c>
      <c r="B17" s="57">
        <v>0.18</v>
      </c>
      <c r="M17" t="s">
        <v>139</v>
      </c>
      <c r="N17">
        <v>2.86E-2</v>
      </c>
      <c r="O17" t="s">
        <v>116</v>
      </c>
    </row>
    <row r="18" spans="1:15" x14ac:dyDescent="0.25">
      <c r="M18" t="s">
        <v>143</v>
      </c>
      <c r="N18">
        <f>(N14+N15)/2/N13</f>
        <v>0.17499999999999996</v>
      </c>
    </row>
    <row r="22" spans="1:15" x14ac:dyDescent="0.25">
      <c r="A22" s="44"/>
      <c r="B22" s="51" t="s">
        <v>122</v>
      </c>
      <c r="C22" s="51" t="s">
        <v>123</v>
      </c>
      <c r="D22" s="51" t="s">
        <v>127</v>
      </c>
      <c r="E22" s="51" t="s">
        <v>124</v>
      </c>
      <c r="F22" s="51" t="s">
        <v>145</v>
      </c>
    </row>
    <row r="23" spans="1:15" x14ac:dyDescent="0.25">
      <c r="A23" s="39" t="s">
        <v>120</v>
      </c>
      <c r="B23" s="45">
        <f>B16</f>
        <v>12.600000000000001</v>
      </c>
      <c r="C23" s="45">
        <f>1+2*B17+60*B17^4</f>
        <v>1.4229855999999999</v>
      </c>
      <c r="D23" s="46">
        <f>$B$15*$C$7</f>
        <v>588503.35325161612</v>
      </c>
      <c r="E23" s="47">
        <f>IF(D23&lt;500000,1.328/SQRT(D23),1/(3.46*LOG10(D23)-5.6)^2)</f>
        <v>4.8471855174604421E-3</v>
      </c>
      <c r="F23" s="47">
        <f>B23*C23*E23/$B$12</f>
        <v>1.4484697902936992E-2</v>
      </c>
    </row>
    <row r="24" spans="1:15" x14ac:dyDescent="0.25">
      <c r="A24" s="39" t="s">
        <v>121</v>
      </c>
      <c r="B24" s="45">
        <f>N12</f>
        <v>5.4444444444444438</v>
      </c>
      <c r="C24" s="45">
        <f>1-0.2896*N18+5.41*N18^2+88*N18^3-238.7*N18^4</f>
        <v>1.3627517578124999</v>
      </c>
      <c r="D24" s="46">
        <f>C7*N13</f>
        <v>1790758.6763518967</v>
      </c>
      <c r="E24" s="47">
        <f t="shared" ref="E24:E26" si="0">IF(D24&lt;500000,1.328/SQRT(D24),1/(3.46*LOG10(D24)-5.6)^2)</f>
        <v>3.8889695375894972E-3</v>
      </c>
      <c r="F24" s="47">
        <f t="shared" ref="F24:F26" si="1">B24*C24*E24/$B$12</f>
        <v>4.808987103667374E-3</v>
      </c>
    </row>
    <row r="25" spans="1:15" x14ac:dyDescent="0.25">
      <c r="A25" s="39" t="s">
        <v>125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1.0670457674256007E-3</v>
      </c>
    </row>
    <row r="26" spans="1:15" x14ac:dyDescent="0.25">
      <c r="A26" s="39" t="s">
        <v>126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3.3696182129229501E-4</v>
      </c>
    </row>
    <row r="27" spans="1:15" x14ac:dyDescent="0.25">
      <c r="A27" s="39" t="s">
        <v>130</v>
      </c>
      <c r="B27" s="45">
        <f>N17</f>
        <v>2.86E-2</v>
      </c>
      <c r="C27" s="48"/>
      <c r="D27" s="48"/>
      <c r="E27" s="48"/>
      <c r="F27" s="47">
        <f>B27/B12*0.16</f>
        <v>7.626666666666667E-4</v>
      </c>
    </row>
    <row r="28" spans="1:15" x14ac:dyDescent="0.25">
      <c r="A28" s="39" t="s">
        <v>131</v>
      </c>
      <c r="B28" s="45">
        <f>R15</f>
        <v>6.25E-2</v>
      </c>
      <c r="C28" s="48"/>
      <c r="D28" s="48"/>
      <c r="E28" s="48"/>
      <c r="F28" s="47">
        <f>B28/B12*1</f>
        <v>1.0416666666666666E-2</v>
      </c>
    </row>
    <row r="29" spans="1:15" x14ac:dyDescent="0.25">
      <c r="A29" s="39" t="s">
        <v>144</v>
      </c>
      <c r="B29" s="48"/>
      <c r="C29" s="48"/>
      <c r="D29" s="48"/>
      <c r="E29" s="48"/>
      <c r="F29" s="47">
        <f>0.28*SUM(F23:F27)</f>
        <v>6.0089005933569003E-3</v>
      </c>
    </row>
    <row r="30" spans="1:15" x14ac:dyDescent="0.25">
      <c r="A30" s="41" t="s">
        <v>129</v>
      </c>
      <c r="B30" s="49"/>
      <c r="C30" s="49"/>
      <c r="D30" s="49"/>
      <c r="E30" s="49"/>
      <c r="F30" s="50">
        <f>SUM(F23:F29)</f>
        <v>3.7885926522012496E-2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56</vt:i4>
      </vt:variant>
    </vt:vector>
  </HeadingPairs>
  <TitlesOfParts>
    <vt:vector size="59" baseType="lpstr">
      <vt:lpstr>Performance Data</vt:lpstr>
      <vt:lpstr>Aircraft Dimensions</vt:lpstr>
      <vt:lpstr>CD0 calculator</vt:lpstr>
      <vt:lpstr>AR</vt:lpstr>
      <vt:lpstr>AR_e</vt:lpstr>
      <vt:lpstr>BATWATTS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CRUD_WIDTH</vt:lpstr>
      <vt:lpstr>Fuse_H</vt:lpstr>
      <vt:lpstr>Fuse_Len</vt:lpstr>
      <vt:lpstr>Fuse_W</vt:lpstr>
      <vt:lpstr>HEADWIND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sync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WSPAN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Timothy Takahashi</cp:lastModifiedBy>
  <cp:lastPrinted>2014-12-18T16:36:06Z</cp:lastPrinted>
  <dcterms:created xsi:type="dcterms:W3CDTF">2012-11-17T04:50:56Z</dcterms:created>
  <dcterms:modified xsi:type="dcterms:W3CDTF">2017-09-16T21:33:15Z</dcterms:modified>
</cp:coreProperties>
</file>